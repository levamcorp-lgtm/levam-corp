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UIA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INVENTARIO" sheetId="4" state="visible" r:id="rId4"/>
    <sheet xmlns:r="http://schemas.openxmlformats.org/officeDocument/2006/relationships" name="COMPRAS" sheetId="5" state="visible" r:id="rId5"/>
    <sheet xmlns:r="http://schemas.openxmlformats.org/officeDocument/2006/relationships" name="VENTAS" sheetId="6" state="visible" r:id="rId6"/>
    <sheet xmlns:r="http://schemas.openxmlformats.org/officeDocument/2006/relationships" name="GASTOS" sheetId="7" state="visible" r:id="rId7"/>
    <sheet xmlns:r="http://schemas.openxmlformats.org/officeDocument/2006/relationships" name="WALMART" sheetId="8" state="visible" r:id="rId8"/>
    <sheet xmlns:r="http://schemas.openxmlformats.org/officeDocument/2006/relationships" name="BANCO" sheetId="9" state="visible" r:id="rId9"/>
    <sheet xmlns:r="http://schemas.openxmlformats.org/officeDocument/2006/relationships" name="ESTADO_RESULTADOS" sheetId="10" state="visible" r:id="rId10"/>
    <sheet xmlns:r="http://schemas.openxmlformats.org/officeDocument/2006/relationships" name="BALANCE" sheetId="11" state="visible" r:id="rId11"/>
  </sheets>
  <definedNames>
    <definedName name="CFG_FECHA">CONFIG!$C$10</definedName>
    <definedName name="CFG_ANIO">CONFIG!$C$11</definedName>
    <definedName name="CFG_CAPITAL">CONFIG!$C$12</definedName>
    <definedName name="CFG_RESERVA">CONFIG!$C$13</definedName>
    <definedName name="CFG_RES_APERTURA">CONFIG!$C$14</definedName>
    <definedName name="CFG_CITI">CONFIG!$C$15</definedName>
    <definedName name="CFG_WALMART">CONFIG!$C$16</definedName>
    <definedName name="CFG_MARGEN">CONFIG!$C$17</definedName>
    <definedName name="LST_PAGO_COMPRA">CONFIG!$F$7:$F$8</definedName>
    <definedName name="LST_PAGO_GASTO">CONFIG!$G$7:$G$9</definedName>
    <definedName name="LST_CATEGORIAS">CONFIG!$H$7:$H$16</definedName>
    <definedName name="LST_MOV_WALMART">CONFIG!$I$7:$I$9</definedName>
    <definedName name="LST_MOV_BANCO">CONFIG!$J$7:$J$10</definedName>
    <definedName name="_xlnm._FilterDatabase" localSheetId="4" hidden="1">'COMPRAS'!$B$5:$N$305</definedName>
    <definedName name="_xlnm._FilterDatabase" localSheetId="5" hidden="1">'VENTAS'!$B$5:$R$505</definedName>
    <definedName name="_xlnm._FilterDatabase" localSheetId="6" hidden="1">'GASTOS'!$B$5:$K$305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/mm/yyyy"/>
    <numFmt numFmtId="166" formatCode="$#,##0.00;[Red]($#,##0.00);&quot;-&quot;"/>
    <numFmt numFmtId="167" formatCode="0.0%;[Red]-0.0%;&quot;-&quot;"/>
    <numFmt numFmtId="168" formatCode="#,##0;[Red](#,##0);&quot;-&quot;"/>
    <numFmt numFmtId="169" formatCode="$#,##0.000;[Red]($#,##0.000);&quot;-&quot;"/>
    <numFmt numFmtId="170" formatCode="0.00&quot;x&quot;"/>
    <numFmt numFmtId="171" formatCode=";;;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C9D6E8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1A1A1A"/>
      <sz val="10"/>
    </font>
    <font>
      <name val="Arial"/>
      <color rgb="000000FF"/>
      <sz val="10"/>
    </font>
    <font>
      <name val="Arial"/>
      <i val="1"/>
      <color rgb="00555555"/>
      <sz val="8"/>
    </font>
    <font>
      <name val="Arial"/>
      <b val="1"/>
      <color rgb="000000FF"/>
      <sz val="10"/>
    </font>
    <font>
      <name val="Arial"/>
      <b val="1"/>
      <color rgb="001A1A1A"/>
      <sz val="10"/>
    </font>
    <font>
      <name val="Arial"/>
      <b val="1"/>
      <color rgb="001A1A1A"/>
      <sz val="9"/>
    </font>
    <font>
      <name val="Arial"/>
      <i val="1"/>
      <color rgb="00555555"/>
      <sz val="9"/>
    </font>
    <font>
      <name val="Arial"/>
      <color rgb="00008000"/>
      <sz val="10"/>
    </font>
    <font>
      <name val="Arial"/>
      <b val="1"/>
      <color rgb="00FFFFFF"/>
      <sz val="11"/>
    </font>
    <font>
      <name val="Arial"/>
      <i val="1"/>
      <color rgb="00666666"/>
      <sz val="8"/>
    </font>
    <font>
      <name val="Arial"/>
      <b val="1"/>
      <color rgb="000B2545"/>
      <sz val="10"/>
    </font>
    <font>
      <name val="Arial"/>
      <b val="1"/>
      <color rgb="000B2545"/>
      <sz val="9"/>
    </font>
    <font>
      <name val="Arial"/>
      <b val="1"/>
      <color rgb="000B2545"/>
      <sz val="11"/>
    </font>
    <font>
      <name val="Arial"/>
      <color rgb="00BBBBBB"/>
      <sz val="7"/>
    </font>
    <font>
      <name val="Arial"/>
      <b val="1"/>
      <color rgb="000B2545"/>
      <sz val="20"/>
    </font>
    <font>
      <name val="Arial"/>
      <color rgb="00666666"/>
      <sz val="9"/>
    </font>
    <font>
      <name val="Arial"/>
      <color rgb="001A1A1A"/>
      <sz val="9"/>
    </font>
    <font>
      <name val="Arial"/>
      <i val="1"/>
      <color rgb="00888888"/>
      <sz val="8"/>
    </font>
    <font>
      <name val="Arial"/>
      <b val="1"/>
      <color rgb="00008000"/>
      <sz val="10"/>
    </font>
  </fonts>
  <fills count="15">
    <fill>
      <patternFill/>
    </fill>
    <fill>
      <patternFill patternType="gray125"/>
    </fill>
    <fill>
      <patternFill patternType="solid">
        <fgColor rgb="000B2545"/>
        <bgColor rgb="000B2545"/>
      </patternFill>
    </fill>
    <fill>
      <patternFill patternType="solid">
        <fgColor rgb="00F2A900"/>
        <bgColor rgb="00F2A900"/>
      </patternFill>
    </fill>
    <fill>
      <patternFill patternType="solid">
        <fgColor rgb="000E9F8A"/>
        <bgColor rgb="000E9F8A"/>
      </patternFill>
    </fill>
    <fill>
      <patternFill patternType="solid">
        <fgColor rgb="0013315C"/>
        <bgColor rgb="0013315C"/>
      </patternFill>
    </fill>
    <fill>
      <patternFill patternType="solid">
        <fgColor rgb="00FFF4C2"/>
        <bgColor rgb="00FFF4C2"/>
      </patternFill>
    </fill>
    <fill>
      <patternFill patternType="solid">
        <fgColor rgb="00F3F6FA"/>
        <bgColor rgb="00F3F6FA"/>
      </patternFill>
    </fill>
    <fill>
      <patternFill patternType="solid">
        <fgColor rgb="008E44AD"/>
        <bgColor rgb="008E44AD"/>
      </patternFill>
    </fill>
    <fill>
      <patternFill patternType="solid">
        <fgColor rgb="000071CE"/>
        <bgColor rgb="000071CE"/>
      </patternFill>
    </fill>
    <fill>
      <patternFill patternType="solid">
        <fgColor rgb="00DCE3ED"/>
        <bgColor rgb="00DCE3ED"/>
      </patternFill>
    </fill>
    <fill>
      <patternFill patternType="solid">
        <fgColor rgb="00C0392B"/>
        <bgColor rgb="00C0392B"/>
      </patternFill>
    </fill>
    <fill>
      <patternFill patternType="solid">
        <fgColor rgb="00FFF8E1"/>
        <bgColor rgb="00FFF8E1"/>
      </patternFill>
    </fill>
    <fill>
      <patternFill patternType="solid">
        <fgColor rgb="00FFFFFF"/>
        <bgColor rgb="00FFFFFF"/>
      </patternFill>
    </fill>
    <fill>
      <patternFill patternType="solid">
        <fgColor rgb="00FFD6D6"/>
        <bgColor rgb="00FFD6D6"/>
      </patternFill>
    </fill>
  </fills>
  <borders count="22">
    <border>
      <left/>
      <right/>
      <top/>
      <bottom/>
      <diagonal/>
    </border>
    <border>
      <left style="thin">
        <color rgb="00DCE3ED"/>
      </left>
      <right style="thin">
        <color rgb="00DCE3ED"/>
      </right>
      <top style="thin">
        <color rgb="00DCE3ED"/>
      </top>
      <bottom style="thin">
        <color rgb="00DCE3ED"/>
      </bottom>
    </border>
    <border>
      <bottom style="hair">
        <color rgb="00DCE3ED"/>
      </bottom>
    </border>
    <border>
      <left style="thick">
        <color rgb="000B2545"/>
      </left>
    </border>
    <border/>
    <border>
      <right style="thin">
        <color rgb="00DCE3ED"/>
      </right>
    </border>
    <border>
      <left style="thick">
        <color rgb="000B2545"/>
      </left>
      <bottom style="thin">
        <color rgb="00DCE3ED"/>
      </bottom>
    </border>
    <border>
      <bottom style="thin">
        <color rgb="00DCE3ED"/>
      </bottom>
    </border>
    <border>
      <right style="thin">
        <color rgb="00DCE3ED"/>
      </right>
      <bottom style="thin">
        <color rgb="00DCE3ED"/>
      </bottom>
    </border>
    <border>
      <left style="thick">
        <color rgb="000E9F8A"/>
      </left>
    </border>
    <border>
      <left style="thick">
        <color rgb="000E9F8A"/>
      </left>
      <bottom style="thin">
        <color rgb="00DCE3ED"/>
      </bottom>
    </border>
    <border>
      <left style="thick">
        <color rgb="000071CE"/>
      </left>
    </border>
    <border>
      <left style="thick">
        <color rgb="000071CE"/>
      </left>
      <bottom style="thin">
        <color rgb="00DCE3ED"/>
      </bottom>
    </border>
    <border>
      <left style="thick">
        <color rgb="008E44AD"/>
      </left>
    </border>
    <border>
      <left style="thick">
        <color rgb="008E44AD"/>
      </left>
      <bottom style="thin">
        <color rgb="00DCE3ED"/>
      </bottom>
    </border>
    <border>
      <left style="thick">
        <color rgb="00C0392B"/>
      </left>
    </border>
    <border>
      <left style="thick">
        <color rgb="00C0392B"/>
      </left>
      <bottom style="thin">
        <color rgb="00DCE3ED"/>
      </bottom>
    </border>
    <border>
      <left style="thick">
        <color rgb="00F2A900"/>
      </left>
    </border>
    <border>
      <left style="thick">
        <color rgb="00F2A900"/>
      </left>
      <bottom style="thin">
        <color rgb="00DCE3ED"/>
      </bottom>
    </border>
    <border>
      <left/>
      <right/>
      <top style="thin">
        <color rgb="00DCE3ED"/>
      </top>
      <bottom/>
      <diagonal/>
    </border>
    <border>
      <left/>
      <right style="thin">
        <color rgb="00DCE3ED"/>
      </right>
      <top style="thin">
        <color rgb="00DCE3ED"/>
      </top>
      <bottom/>
      <diagonal/>
    </border>
    <border>
      <left/>
      <right style="thin">
        <color rgb="00DCE3ED"/>
      </right>
      <top style="thin">
        <color rgb="00DCE3ED"/>
      </top>
      <bottom style="thin">
        <color rgb="00DCE3ED"/>
      </bottom>
      <diagonal/>
    </border>
  </borders>
  <cellStyleXfs count="1">
    <xf numFmtId="0" fontId="0" fillId="0" borderId="0"/>
  </cellStyleXfs>
  <cellXfs count="17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0" fillId="3" borderId="0" pivotButton="0" quotePrefix="0" xfId="0"/>
    <xf numFmtId="0" fontId="3" fillId="5" borderId="0" pivotButton="0" quotePrefix="0" xfId="0"/>
    <xf numFmtId="0" fontId="0" fillId="5" borderId="0" pivotButton="0" quotePrefix="0" xfId="0"/>
    <xf numFmtId="0" fontId="4" fillId="2" borderId="3" applyAlignment="1" pivotButton="0" quotePrefix="0" xfId="0">
      <alignment horizontal="center" vertical="center"/>
    </xf>
    <xf numFmtId="0" fontId="0" fillId="2" borderId="4" pivotButton="0" quotePrefix="0" xfId="0"/>
    <xf numFmtId="0" fontId="0" fillId="2" borderId="5" pivotButton="0" quotePrefix="0" xfId="0"/>
    <xf numFmtId="0" fontId="4" fillId="4" borderId="9" applyAlignment="1" pivotButton="0" quotePrefix="0" xfId="0">
      <alignment horizontal="center" vertical="center"/>
    </xf>
    <xf numFmtId="0" fontId="0" fillId="4" borderId="4" pivotButton="0" quotePrefix="0" xfId="0"/>
    <xf numFmtId="0" fontId="0" fillId="4" borderId="5" pivotButton="0" quotePrefix="0" xfId="0"/>
    <xf numFmtId="0" fontId="4" fillId="9" borderId="11" applyAlignment="1" pivotButton="0" quotePrefix="0" xfId="0">
      <alignment horizontal="center" vertical="center"/>
    </xf>
    <xf numFmtId="0" fontId="0" fillId="9" borderId="4" pivotButton="0" quotePrefix="0" xfId="0"/>
    <xf numFmtId="0" fontId="0" fillId="9" borderId="5" pivotButton="0" quotePrefix="0" xfId="0"/>
    <xf numFmtId="0" fontId="4" fillId="8" borderId="13" applyAlignment="1" pivotButton="0" quotePrefix="0" xfId="0">
      <alignment horizontal="center" vertical="center"/>
    </xf>
    <xf numFmtId="0" fontId="0" fillId="8" borderId="4" pivotButton="0" quotePrefix="0" xfId="0"/>
    <xf numFmtId="0" fontId="0" fillId="8" borderId="5" pivotButton="0" quotePrefix="0" xfId="0"/>
    <xf numFmtId="166" fontId="19" fillId="13" borderId="3" applyAlignment="1" pivotButton="0" quotePrefix="0" xfId="0">
      <alignment horizontal="center" vertical="center"/>
    </xf>
    <xf numFmtId="0" fontId="0" fillId="13" borderId="4" pivotButton="0" quotePrefix="0" xfId="0"/>
    <xf numFmtId="0" fontId="0" fillId="13" borderId="5" pivotButton="0" quotePrefix="0" xfId="0"/>
    <xf numFmtId="166" fontId="19" fillId="13" borderId="9" applyAlignment="1" pivotButton="0" quotePrefix="0" xfId="0">
      <alignment horizontal="center" vertical="center"/>
    </xf>
    <xf numFmtId="166" fontId="19" fillId="13" borderId="11" applyAlignment="1" pivotButton="0" quotePrefix="0" xfId="0">
      <alignment horizontal="center" vertical="center"/>
    </xf>
    <xf numFmtId="166" fontId="19" fillId="13" borderId="13" applyAlignment="1" pivotButton="0" quotePrefix="0" xfId="0">
      <alignment horizontal="center" vertical="center"/>
    </xf>
    <xf numFmtId="0" fontId="14" fillId="13" borderId="6" applyAlignment="1" pivotButton="0" quotePrefix="0" xfId="0">
      <alignment horizontal="center" vertical="center"/>
    </xf>
    <xf numFmtId="0" fontId="0" fillId="13" borderId="7" pivotButton="0" quotePrefix="0" xfId="0"/>
    <xf numFmtId="0" fontId="0" fillId="13" borderId="8" pivotButton="0" quotePrefix="0" xfId="0"/>
    <xf numFmtId="0" fontId="14" fillId="13" borderId="10" applyAlignment="1" pivotButton="0" quotePrefix="0" xfId="0">
      <alignment horizontal="center" vertical="center"/>
    </xf>
    <xf numFmtId="0" fontId="14" fillId="13" borderId="12" applyAlignment="1" pivotButton="0" quotePrefix="0" xfId="0">
      <alignment horizontal="center" vertical="center"/>
    </xf>
    <xf numFmtId="0" fontId="14" fillId="13" borderId="14" applyAlignment="1" pivotButton="0" quotePrefix="0" xfId="0">
      <alignment horizontal="center" vertical="center"/>
    </xf>
    <xf numFmtId="0" fontId="4" fillId="11" borderId="15" applyAlignment="1" pivotButton="0" quotePrefix="0" xfId="0">
      <alignment horizontal="center" vertical="center"/>
    </xf>
    <xf numFmtId="0" fontId="0" fillId="11" borderId="4" pivotButton="0" quotePrefix="0" xfId="0"/>
    <xf numFmtId="0" fontId="0" fillId="11" borderId="5" pivotButton="0" quotePrefix="0" xfId="0"/>
    <xf numFmtId="166" fontId="19" fillId="13" borderId="15" applyAlignment="1" pivotButton="0" quotePrefix="0" xfId="0">
      <alignment horizontal="center" vertical="center"/>
    </xf>
    <xf numFmtId="0" fontId="14" fillId="13" borderId="16" applyAlignment="1" pivotButton="0" quotePrefix="0" xfId="0">
      <alignment horizontal="center" vertical="center"/>
    </xf>
    <xf numFmtId="0" fontId="4" fillId="3" borderId="17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166" fontId="19" fillId="13" borderId="17" applyAlignment="1" pivotButton="0" quotePrefix="0" xfId="0">
      <alignment horizontal="center" vertical="center"/>
    </xf>
    <xf numFmtId="167" fontId="19" fillId="13" borderId="13" applyAlignment="1" pivotButton="0" quotePrefix="0" xfId="0">
      <alignment horizontal="center" vertical="center"/>
    </xf>
    <xf numFmtId="0" fontId="14" fillId="13" borderId="18" applyAlignment="1" pivotButton="0" quotePrefix="0" xfId="0">
      <alignment horizontal="center" vertical="center"/>
    </xf>
    <xf numFmtId="0" fontId="3" fillId="11" borderId="0" pivotButton="0" quotePrefix="0" xfId="0"/>
    <xf numFmtId="0" fontId="0" fillId="11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16" fillId="7" borderId="2" pivotButton="0" quotePrefix="0" xfId="0"/>
    <xf numFmtId="0" fontId="0" fillId="7" borderId="2" pivotButton="0" quotePrefix="0" xfId="0"/>
    <xf numFmtId="0" fontId="10" fillId="7" borderId="2" applyAlignment="1" pivotButton="0" quotePrefix="0" xfId="0">
      <alignment horizontal="right"/>
    </xf>
    <xf numFmtId="166" fontId="10" fillId="7" borderId="2" pivotButton="0" quotePrefix="0" xfId="0"/>
    <xf numFmtId="167" fontId="20" fillId="7" borderId="2" pivotButton="0" quotePrefix="0" xfId="0"/>
    <xf numFmtId="171" fontId="0" fillId="7" borderId="2" pivotButton="0" quotePrefix="0" xfId="0"/>
    <xf numFmtId="0" fontId="16" fillId="13" borderId="2" pivotButton="0" quotePrefix="0" xfId="0"/>
    <xf numFmtId="0" fontId="0" fillId="13" borderId="2" pivotButton="0" quotePrefix="0" xfId="0"/>
    <xf numFmtId="0" fontId="10" fillId="13" borderId="2" applyAlignment="1" pivotButton="0" quotePrefix="0" xfId="0">
      <alignment horizontal="right"/>
    </xf>
    <xf numFmtId="166" fontId="10" fillId="13" borderId="2" pivotButton="0" quotePrefix="0" xfId="0"/>
    <xf numFmtId="167" fontId="20" fillId="13" borderId="2" pivotButton="0" quotePrefix="0" xfId="0"/>
    <xf numFmtId="171" fontId="0" fillId="13" borderId="2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21" pivotButton="0" quotePrefix="0" xfId="0"/>
    <xf numFmtId="0" fontId="4" fillId="4" borderId="1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/>
    </xf>
    <xf numFmtId="168" fontId="21" fillId="7" borderId="2" applyAlignment="1" pivotButton="0" quotePrefix="0" xfId="0">
      <alignment horizontal="center" vertical="center"/>
    </xf>
    <xf numFmtId="169" fontId="21" fillId="7" borderId="2" applyAlignment="1" pivotButton="0" quotePrefix="0" xfId="0">
      <alignment horizontal="center" vertical="center"/>
    </xf>
    <xf numFmtId="166" fontId="21" fillId="7" borderId="2" applyAlignment="1" pivotButton="0" quotePrefix="0" xfId="0">
      <alignment horizontal="center" vertical="center"/>
    </xf>
    <xf numFmtId="167" fontId="21" fillId="7" borderId="2" applyAlignment="1" pivotButton="0" quotePrefix="0" xfId="0">
      <alignment horizontal="center" vertical="center"/>
    </xf>
    <xf numFmtId="166" fontId="10" fillId="7" borderId="2" applyAlignment="1" pivotButton="0" quotePrefix="0" xfId="0">
      <alignment horizontal="center" vertical="center"/>
    </xf>
    <xf numFmtId="0" fontId="21" fillId="7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left" vertical="center"/>
    </xf>
    <xf numFmtId="168" fontId="21" fillId="13" borderId="2" applyAlignment="1" pivotButton="0" quotePrefix="0" xfId="0">
      <alignment horizontal="center" vertical="center"/>
    </xf>
    <xf numFmtId="169" fontId="21" fillId="13" borderId="2" applyAlignment="1" pivotButton="0" quotePrefix="0" xfId="0">
      <alignment horizontal="center" vertical="center"/>
    </xf>
    <xf numFmtId="166" fontId="21" fillId="13" borderId="2" applyAlignment="1" pivotButton="0" quotePrefix="0" xfId="0">
      <alignment horizontal="center" vertical="center"/>
    </xf>
    <xf numFmtId="167" fontId="21" fillId="13" borderId="2" applyAlignment="1" pivotButton="0" quotePrefix="0" xfId="0">
      <alignment horizontal="center" vertical="center"/>
    </xf>
    <xf numFmtId="166" fontId="10" fillId="13" borderId="2" applyAlignment="1" pivotButton="0" quotePrefix="0" xfId="0">
      <alignment horizontal="center" vertical="center"/>
    </xf>
    <xf numFmtId="0" fontId="21" fillId="13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/>
    </xf>
    <xf numFmtId="168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166" fontId="4" fillId="2" borderId="0" applyAlignment="1" pivotButton="0" quotePrefix="0" xfId="0">
      <alignment horizontal="center"/>
    </xf>
    <xf numFmtId="0" fontId="22" fillId="0" borderId="0" pivotButton="0" quotePrefix="0" xfId="0"/>
    <xf numFmtId="0" fontId="21" fillId="7" borderId="2" pivotButton="0" quotePrefix="0" xfId="0"/>
    <xf numFmtId="0" fontId="21" fillId="13" borderId="2" pivotButton="0" quotePrefix="0" xfId="0"/>
    <xf numFmtId="0" fontId="10" fillId="7" borderId="2" applyAlignment="1" pivotButton="0" quotePrefix="0" xfId="0">
      <alignment horizontal="center"/>
    </xf>
    <xf numFmtId="166" fontId="21" fillId="7" borderId="2" applyAlignment="1" pivotButton="0" quotePrefix="0" xfId="0">
      <alignment horizontal="right"/>
    </xf>
    <xf numFmtId="0" fontId="21" fillId="7" borderId="2" applyAlignment="1" pivotButton="0" quotePrefix="0" xfId="0">
      <alignment horizontal="right"/>
    </xf>
    <xf numFmtId="0" fontId="10" fillId="13" borderId="2" applyAlignment="1" pivotButton="0" quotePrefix="0" xfId="0">
      <alignment horizontal="center"/>
    </xf>
    <xf numFmtId="166" fontId="21" fillId="13" borderId="2" applyAlignment="1" pivotButton="0" quotePrefix="0" xfId="0">
      <alignment horizontal="right"/>
    </xf>
    <xf numFmtId="0" fontId="21" fillId="13" borderId="2" applyAlignment="1" pivotButton="0" quotePrefix="0" xfId="0">
      <alignment horizontal="right"/>
    </xf>
    <xf numFmtId="0" fontId="4" fillId="2" borderId="0" pivotButton="0" quotePrefix="0" xfId="0"/>
    <xf numFmtId="166" fontId="4" fillId="2" borderId="0" pivotButton="0" quotePrefix="0" xfId="0"/>
    <xf numFmtId="0" fontId="8" fillId="6" borderId="2" applyAlignment="1" pivotButton="0" quotePrefix="0" xfId="0">
      <alignment vertical="center"/>
    </xf>
    <xf numFmtId="0" fontId="5" fillId="0" borderId="2" applyAlignment="1" pivotButton="0" quotePrefix="0" xfId="0">
      <alignment vertical="center" wrapText="1"/>
    </xf>
    <xf numFmtId="0" fontId="15" fillId="0" borderId="2" applyAlignment="1" pivotButton="0" quotePrefix="0" xfId="0">
      <alignment vertical="center"/>
    </xf>
    <xf numFmtId="0" fontId="23" fillId="0" borderId="2" applyAlignment="1" pivotButton="0" quotePrefix="0" xfId="0">
      <alignment vertical="center"/>
    </xf>
    <xf numFmtId="0" fontId="15" fillId="14" borderId="2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1" fontId="6" fillId="6" borderId="1" applyAlignment="1" pivotButton="0" quotePrefix="0" xfId="0">
      <alignment horizontal="center" vertical="center"/>
    </xf>
    <xf numFmtId="166" fontId="6" fillId="6" borderId="1" applyAlignment="1" pivotButton="0" quotePrefix="0" xfId="0">
      <alignment horizontal="center" vertical="center"/>
    </xf>
    <xf numFmtId="167" fontId="6" fillId="6" borderId="1" applyAlignment="1" pivotButton="0" quotePrefix="0" xfId="0">
      <alignment horizontal="center" vertical="center"/>
    </xf>
    <xf numFmtId="0" fontId="3" fillId="8" borderId="0" pivotButton="0" quotePrefix="0" xfId="0"/>
    <xf numFmtId="0" fontId="0" fillId="8" borderId="0" pivotButton="0" quotePrefix="0" xfId="0"/>
    <xf numFmtId="0" fontId="6" fillId="6" borderId="1" applyAlignment="1" pivotButton="0" quotePrefix="0" xfId="0">
      <alignment horizontal="left" vertical="center"/>
    </xf>
    <xf numFmtId="168" fontId="5" fillId="0" borderId="1" applyAlignment="1" pivotButton="0" quotePrefix="0" xfId="0">
      <alignment horizontal="right" vertical="center"/>
    </xf>
    <xf numFmtId="168" fontId="9" fillId="0" borderId="1" applyAlignment="1" pivotButton="0" quotePrefix="0" xfId="0">
      <alignment horizontal="right" vertical="center"/>
    </xf>
    <xf numFmtId="168" fontId="6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right" vertical="center"/>
    </xf>
    <xf numFmtId="169" fontId="5" fillId="0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168" fontId="5" fillId="7" borderId="1" applyAlignment="1" pivotButton="0" quotePrefix="0" xfId="0">
      <alignment horizontal="right" vertical="center"/>
    </xf>
    <xf numFmtId="168" fontId="9" fillId="7" borderId="1" applyAlignment="1" pivotButton="0" quotePrefix="0" xfId="0">
      <alignment horizontal="right" vertical="center"/>
    </xf>
    <xf numFmtId="166" fontId="5" fillId="7" borderId="1" applyAlignment="1" pivotButton="0" quotePrefix="0" xfId="0">
      <alignment horizontal="right" vertical="center"/>
    </xf>
    <xf numFmtId="169" fontId="5" fillId="7" borderId="1" applyAlignment="1" pivotButton="0" quotePrefix="0" xfId="0">
      <alignment horizontal="right" vertical="center"/>
    </xf>
    <xf numFmtId="166" fontId="9" fillId="7" borderId="1" applyAlignment="1" pivotButton="0" quotePrefix="0" xfId="0">
      <alignment horizontal="right" vertical="center"/>
    </xf>
    <xf numFmtId="167" fontId="5" fillId="7" borderId="1" applyAlignment="1" pivotButton="0" quotePrefix="0" xfId="0">
      <alignment horizontal="right" vertical="center"/>
    </xf>
    <xf numFmtId="168" fontId="3" fillId="2" borderId="1" applyAlignment="1" pivotButton="0" quotePrefix="0" xfId="0">
      <alignment horizontal="right" vertical="center"/>
    </xf>
    <xf numFmtId="166" fontId="3" fillId="2" borderId="1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pivotButton="0" quotePrefix="0" xfId="0"/>
    <xf numFmtId="0" fontId="7" fillId="0" borderId="0" pivotButton="0" quotePrefix="0" xfId="0"/>
    <xf numFmtId="0" fontId="6" fillId="6" borderId="1" applyAlignment="1" pivotButton="0" quotePrefix="0" xfId="0">
      <alignment horizontal="left"/>
    </xf>
    <xf numFmtId="168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167" fontId="3" fillId="2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left" vertical="center"/>
    </xf>
    <xf numFmtId="166" fontId="6" fillId="6" borderId="1" applyAlignment="1" pivotButton="0" quotePrefix="0" xfId="0">
      <alignment horizontal="right"/>
    </xf>
    <xf numFmtId="0" fontId="3" fillId="9" borderId="0" pivotButton="0" quotePrefix="0" xfId="0"/>
    <xf numFmtId="0" fontId="0" fillId="9" borderId="0" pivotButton="0" quotePrefix="0" xfId="0"/>
    <xf numFmtId="0" fontId="5" fillId="0" borderId="2" pivotButton="0" quotePrefix="0" xfId="0"/>
    <xf numFmtId="166" fontId="12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0" fontId="13" fillId="2" borderId="2" pivotButton="0" quotePrefix="0" xfId="0"/>
    <xf numFmtId="166" fontId="13" fillId="2" borderId="2" applyAlignment="1" pivotButton="0" quotePrefix="0" xfId="0">
      <alignment horizontal="right"/>
    </xf>
    <xf numFmtId="0" fontId="14" fillId="0" borderId="0" pivotButton="0" quotePrefix="0" xfId="0"/>
    <xf numFmtId="0" fontId="15" fillId="10" borderId="2" pivotButton="0" quotePrefix="0" xfId="0"/>
    <xf numFmtId="166" fontId="15" fillId="10" borderId="2" applyAlignment="1" pivotButton="0" quotePrefix="0" xfId="0">
      <alignment horizontal="right"/>
    </xf>
    <xf numFmtId="0" fontId="16" fillId="0" borderId="0" pivotButton="0" quotePrefix="0" xfId="0"/>
    <xf numFmtId="165" fontId="12" fillId="6" borderId="1" applyAlignment="1" pivotButton="0" quotePrefix="0" xfId="0">
      <alignment horizontal="left" vertical="center"/>
    </xf>
    <xf numFmtId="166" fontId="12" fillId="6" borderId="1" applyAlignment="1" pivotButton="0" quotePrefix="0" xfId="0">
      <alignment horizontal="right"/>
    </xf>
    <xf numFmtId="0" fontId="17" fillId="0" borderId="0" pivotButton="0" quotePrefix="0" xfId="0"/>
    <xf numFmtId="165" fontId="18" fillId="0" borderId="0" pivotButton="0" quotePrefix="0" xfId="0"/>
    <xf numFmtId="0" fontId="16" fillId="3" borderId="1" applyAlignment="1" pivotButton="0" quotePrefix="0" xfId="0">
      <alignment horizontal="center" vertical="center" wrapText="1"/>
    </xf>
    <xf numFmtId="166" fontId="5" fillId="0" borderId="2" applyAlignment="1" pivotButton="0" quotePrefix="0" xfId="0">
      <alignment horizontal="left" vertical="center" indent="1"/>
    </xf>
    <xf numFmtId="166" fontId="5" fillId="0" borderId="2" applyAlignment="1" pivotButton="0" quotePrefix="0" xfId="0">
      <alignment horizontal="right" vertical="center"/>
    </xf>
    <xf numFmtId="166" fontId="15" fillId="7" borderId="2" applyAlignment="1" pivotButton="0" quotePrefix="0" xfId="0">
      <alignment horizontal="right" vertical="center"/>
    </xf>
    <xf numFmtId="166" fontId="15" fillId="12" borderId="2" applyAlignment="1" pivotButton="0" quotePrefix="0" xfId="0">
      <alignment horizontal="right" vertical="center"/>
    </xf>
    <xf numFmtId="166" fontId="15" fillId="10" borderId="2" applyAlignment="1" pivotButton="0" quotePrefix="0" xfId="0">
      <alignment horizontal="left" vertical="center"/>
    </xf>
    <xf numFmtId="166" fontId="15" fillId="10" borderId="2" applyAlignment="1" pivotButton="0" quotePrefix="0" xfId="0">
      <alignment horizontal="right" vertical="center"/>
    </xf>
    <xf numFmtId="167" fontId="11" fillId="0" borderId="2" applyAlignment="1" pivotButton="0" quotePrefix="0" xfId="0">
      <alignment horizontal="left" vertical="center"/>
    </xf>
    <xf numFmtId="167" fontId="11" fillId="0" borderId="2" applyAlignment="1" pivotButton="0" quotePrefix="0" xfId="0">
      <alignment horizontal="right" vertical="center"/>
    </xf>
    <xf numFmtId="167" fontId="15" fillId="7" borderId="2" applyAlignment="1" pivotButton="0" quotePrefix="0" xfId="0">
      <alignment horizontal="right" vertical="center"/>
    </xf>
    <xf numFmtId="167" fontId="15" fillId="12" borderId="2" applyAlignment="1" pivotButton="0" quotePrefix="0" xfId="0">
      <alignment horizontal="right" vertical="center"/>
    </xf>
    <xf numFmtId="166" fontId="13" fillId="2" borderId="2" applyAlignment="1" pivotButton="0" quotePrefix="0" xfId="0">
      <alignment horizontal="left" vertical="center"/>
    </xf>
    <xf numFmtId="166" fontId="13" fillId="2" borderId="2" applyAlignment="1" pivotButton="0" quotePrefix="0" xfId="0">
      <alignment horizontal="right" vertical="center"/>
    </xf>
    <xf numFmtId="168" fontId="5" fillId="0" borderId="2" applyAlignment="1" pivotButton="0" quotePrefix="0" xfId="0">
      <alignment horizontal="left" vertical="center"/>
    </xf>
    <xf numFmtId="168" fontId="5" fillId="0" borderId="2" applyAlignment="1" pivotButton="0" quotePrefix="0" xfId="0">
      <alignment horizontal="right" vertical="center"/>
    </xf>
    <xf numFmtId="168" fontId="15" fillId="7" borderId="2" applyAlignment="1" pivotButton="0" quotePrefix="0" xfId="0">
      <alignment horizontal="right" vertical="center"/>
    </xf>
    <xf numFmtId="168" fontId="15" fillId="12" borderId="2" applyAlignment="1" pivotButton="0" quotePrefix="0" xfId="0">
      <alignment horizontal="right" vertical="center"/>
    </xf>
    <xf numFmtId="0" fontId="5" fillId="0" borderId="2" applyAlignment="1" pivotButton="0" quotePrefix="0" xfId="0">
      <alignment indent="1"/>
    </xf>
    <xf numFmtId="166" fontId="5" fillId="0" borderId="2" pivotButton="0" quotePrefix="0" xfId="0"/>
    <xf numFmtId="167" fontId="14" fillId="0" borderId="2" pivotButton="0" quotePrefix="0" xfId="0"/>
    <xf numFmtId="166" fontId="13" fillId="2" borderId="2" pivotButton="0" quotePrefix="0" xfId="0"/>
    <xf numFmtId="166" fontId="15" fillId="10" borderId="2" pivotButton="0" quotePrefix="0" xfId="0"/>
    <xf numFmtId="0" fontId="9" fillId="0" borderId="2" pivotButton="0" quotePrefix="0" xfId="0"/>
    <xf numFmtId="0" fontId="3" fillId="3" borderId="0" pivotButton="0" quotePrefix="0" xfId="0"/>
    <xf numFmtId="170" fontId="15" fillId="0" borderId="2" pivotButton="0" quotePrefix="0" xfId="0"/>
    <xf numFmtId="167" fontId="15" fillId="0" borderId="2" pivotButton="0" quotePrefix="0" xfId="0"/>
  </cellXfs>
  <cellStyles count="1">
    <cellStyle name="Normal" xfId="0" builtinId="0" hidden="0"/>
  </cellStyles>
  <dxfs count="17">
    <dxf>
      <font>
        <name val="Arial"/>
        <b val="1"/>
        <color rgb="00C0392B"/>
        <sz val="20"/>
      </font>
    </dxf>
    <dxf>
      <font>
        <name val="Arial"/>
        <b val="1"/>
        <color rgb="001E8449"/>
        <sz val="9"/>
      </font>
    </dxf>
    <dxf>
      <font>
        <name val="Arial"/>
        <b val="1"/>
        <color rgb="00C0392B"/>
        <sz val="9"/>
      </font>
    </dxf>
    <dxf>
      <font>
        <name val="Arial"/>
        <b val="1"/>
        <color rgb="00B9770E"/>
        <sz val="9"/>
      </font>
    </dxf>
    <dxf>
      <font>
        <name val="Arial"/>
        <b val="1"/>
        <color rgb="001E8449"/>
        <sz val="9"/>
      </font>
      <fill>
        <patternFill patternType="solid">
          <fgColor rgb="00E3F5EF"/>
          <bgColor rgb="00E3F5EF"/>
        </patternFill>
      </fill>
    </dxf>
    <dxf>
      <font>
        <name val="Arial"/>
        <b val="1"/>
        <color rgb="00B9770E"/>
        <sz val="9"/>
      </font>
      <fill>
        <patternFill patternType="solid">
          <fgColor rgb="00FEF5E7"/>
          <bgColor rgb="00FEF5E7"/>
        </patternFill>
      </fill>
    </dxf>
    <dxf>
      <font>
        <name val="Arial"/>
        <b val="1"/>
        <color rgb="00C0392B"/>
        <sz val="9"/>
      </font>
      <fill>
        <patternFill patternType="solid">
          <fgColor rgb="00FBE4E1"/>
          <bgColor rgb="00FBE4E1"/>
        </patternFill>
      </fill>
    </dxf>
    <dxf>
      <font>
        <name val="Arial"/>
        <b val="1"/>
        <color rgb="00C0392B"/>
        <sz val="9"/>
      </font>
      <fill>
        <patternFill patternType="solid">
          <fgColor rgb="00FFD6D6"/>
          <bgColor rgb="00FFD6D6"/>
        </patternFill>
      </fill>
    </dxf>
    <dxf>
      <font>
        <name val="Arial"/>
        <b val="1"/>
        <color rgb="001E8449"/>
        <sz val="10"/>
      </font>
      <fill>
        <patternFill patternType="solid">
          <fgColor rgb="00E3F5EF"/>
          <bgColor rgb="00E3F5EF"/>
        </patternFill>
      </fill>
    </dxf>
    <dxf>
      <font>
        <name val="Arial"/>
        <b val="1"/>
        <color rgb="00B9770E"/>
        <sz val="10"/>
      </font>
      <fill>
        <patternFill patternType="solid">
          <fgColor rgb="00FEF5E7"/>
          <bgColor rgb="00FEF5E7"/>
        </patternFill>
      </fill>
    </dxf>
    <dxf>
      <font>
        <name val="Arial"/>
        <b val="1"/>
        <color rgb="00C0392B"/>
        <sz val="10"/>
      </font>
      <fill>
        <patternFill patternType="solid">
          <fgColor rgb="00FBE4E1"/>
          <bgColor rgb="00FBE4E1"/>
        </patternFill>
      </fill>
    </dxf>
    <dxf>
      <font>
        <name val="Arial"/>
        <b val="1"/>
        <color rgb="00C0392B"/>
        <sz val="10"/>
      </font>
    </dxf>
    <dxf>
      <font>
        <name val="Arial"/>
        <b val="1"/>
        <color rgb="001E8449"/>
        <sz val="10"/>
      </font>
    </dxf>
    <dxf>
      <fill>
        <patternFill patternType="solid">
          <fgColor rgb="00FFD6D6"/>
          <bgColor rgb="00FFD6D6"/>
        </patternFill>
      </fill>
    </dxf>
    <dxf>
      <fill>
        <patternFill patternType="solid">
          <fgColor rgb="00FBE4E1"/>
          <bgColor rgb="00FBE4E1"/>
        </patternFill>
      </fill>
    </dxf>
    <dxf>
      <font>
        <name val="Arial"/>
        <b val="1"/>
        <color rgb="00C0392B"/>
        <sz val="11"/>
      </font>
      <fill>
        <patternFill patternType="solid">
          <fgColor rgb="00FBE4E1"/>
          <bgColor rgb="00FBE4E1"/>
        </patternFill>
      </fill>
    </dxf>
    <dxf>
      <font>
        <name val="Arial"/>
        <b val="1"/>
        <color rgb="00FFB3A7"/>
        <sz val="1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vs. Utilidad neta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'DASHBOARD'!J41</f>
            </strRef>
          </tx>
          <spPr>
            <a:solidFill xmlns:a="http://schemas.openxmlformats.org/drawingml/2006/main">
              <a:srgbClr val="0B2545"/>
            </a:solidFill>
            <a:ln xmlns:a="http://schemas.openxmlformats.org/drawingml/2006/main">
              <a:prstDash val="solid"/>
            </a:ln>
          </spPr>
          <cat>
            <numRef>
              <f>'DASHBOARD'!$I$42:$I$53</f>
            </numRef>
          </cat>
          <val>
            <numRef>
              <f>'DASHBOARD'!$J$42:$J$53</f>
            </numRef>
          </val>
        </ser>
        <ser>
          <idx val="1"/>
          <order val="1"/>
          <tx>
            <strRef>
              <f>'DASHBOARD'!K41</f>
            </strRef>
          </tx>
          <spPr>
            <a:solidFill xmlns:a="http://schemas.openxmlformats.org/drawingml/2006/main">
              <a:srgbClr val="0E9F8A"/>
            </a:solidFill>
            <a:ln xmlns:a="http://schemas.openxmlformats.org/drawingml/2006/main">
              <a:prstDash val="solid"/>
            </a:ln>
          </spPr>
          <cat>
            <numRef>
              <f>'DASHBOARD'!$I$42:$I$53</f>
            </numRef>
          </cat>
          <val>
            <numRef>
              <f>'DASHBOARD'!$K$42:$K$53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'DASHBOARD'!L41</f>
            </strRef>
          </tx>
          <spPr>
            <a:ln xmlns:a="http://schemas.openxmlformats.org/drawingml/2006/main" w="32000">
              <a:solidFill>
                <a:srgbClr val="F2A9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'DASHBOARD'!$L$42:$L$53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Composición de activos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E9F8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5DADE2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71CE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'DASHBOARD'!$I$20:$I$23</f>
            </numRef>
          </cat>
          <val>
            <numRef>
              <f>'DASHBOARD'!$K$20:$K$23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Valor del inventario por producto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'DASHBOARD'!I28</f>
            </strRef>
          </tx>
          <spPr>
            <a:solidFill xmlns:a="http://schemas.openxmlformats.org/drawingml/2006/main">
              <a:srgbClr val="8E44AD"/>
            </a:solidFill>
            <a:ln xmlns:a="http://schemas.openxmlformats.org/drawingml/2006/main">
              <a:prstDash val="solid"/>
            </a:ln>
          </spPr>
          <cat>
            <numRef>
              <f>'DASHBOARD'!$B$29:$B$36</f>
            </numRef>
          </cat>
          <val>
            <numRef>
              <f>'DASHBOARD'!$I$29:$I$36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Gastos por categoría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'DASHBOARD'!$B$41:$B$50</f>
            </numRef>
          </cat>
          <val>
            <numRef>
              <f>'DASHBOARD'!$F$41:$F$50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COTIMIX</author>
  </authors>
  <commentList>
    <comment ref="I7" authorId="0" shapeId="0">
      <text>
        <t>Supuesto inicial editable: unidades mínimas antes de reordenar.</t>
      </text>
    </comment>
    <comment ref="N7" authorId="0" shapeId="0">
      <text>
        <t>PRECIO DE VENTA: aún no definido. Escríbalo aquí y toda la rentabilidad se recalcula automáticamente.</t>
      </text>
    </comment>
    <comment ref="O7" authorId="0" shapeId="0">
      <text>
        <t>SUPUESTO: 15% (tarifa estándar Walmart). Verifique la categoría exacta en Seller Center.</t>
      </text>
    </comment>
    <comment ref="Q7" authorId="0" shapeId="0">
      <text>
        <t>Costo de envío o WFS por unidad que absorbe COTIMIX. Déjelo en 0 si el cliente lo paga.</t>
      </text>
    </comment>
  </commentList>
</comments>
</file>

<file path=xl/comments/comment2.xml><?xml version="1.0" encoding="utf-8"?>
<comments xmlns="http://schemas.openxmlformats.org/spreadsheetml/2006/main">
  <authors>
    <author>COTIMIX</author>
  </authors>
  <commentList>
    <comment ref="G7" authorId="0" shapeId="0">
      <text>
        <t>Dato del propietario: Mouse Logitech a $42 c/u con Citi. Costo real = $42 × 1.029 = $43.218.</t>
      </text>
    </comment>
  </commentList>
</comments>
</file>

<file path=xl/comments/comment3.xml><?xml version="1.0" encoding="utf-8"?>
<comments xmlns="http://schemas.openxmlformats.org/spreadsheetml/2006/main">
  <authors>
    <author>COTIMIX</author>
  </authors>
  <commentList>
    <comment ref="E18" authorId="0" shapeId="0">
      <text>
        <t>Si este saldo es negativo, hay depósitos registrados mayores a las ventas netas: revise que todas las ventas estén capturadas.</t>
      </text>
    </comment>
  </commentList>
</comments>
</file>

<file path=xl/comments/comment4.xml><?xml version="1.0" encoding="utf-8"?>
<comments xmlns="http://schemas.openxmlformats.org/spreadsheetml/2006/main">
  <authors>
    <author>COTIMIX</author>
  </authors>
  <commentList>
    <comment ref="E13" authorId="0" shapeId="0">
      <text>
        <t>Si el saldo es negativo, hay egresos registrados sin fondos suficientes: revise aportes o depósitos de Walmart.</t>
      </text>
    </comment>
    <comment ref="E19" authorId="0" shapeId="0">
      <text>
        <t>SUPUESTO: la compra de mouse con Citi ($1,728.72) sigue pendiente de pago. Cuando pague la tarjeta, registre un movimiento 'Pago tarjeta Citi' abajo.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56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56</row>
      <rowOff>0</rowOff>
    </from>
    <ext cx="450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74</row>
      <rowOff>0</rowOff>
    </from>
    <ext cx="61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74</row>
      <rowOff>0</rowOff>
    </from>
    <ext cx="450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00F2A900"/>
    <outlinePr summaryBelow="1" summaryRight="1"/>
    <pageSetUpPr fitToPage="1"/>
  </sheetPr>
  <dimension ref="A1:N5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5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2.5" customWidth="1" min="14" max="14"/>
  </cols>
  <sheetData>
    <row r="1" ht="34" customHeight="1">
      <c r="A1" s="1" t="n"/>
      <c r="B1" s="2" t="inlineStr">
        <is>
          <t>COTIMIX  ·  DASHBOARD FINANCIERO EJECUTIVO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0" customHeight="1">
      <c r="A2" s="1" t="n"/>
      <c r="B2" s="3">
        <f>"Walmart Marketplace  ·  Actualizado al "&amp;TEXT(TODAY(),"dd/mm/yyyy")&amp;"  ·  Cifras en USD"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5" ht="20" customHeight="1">
      <c r="B5" s="5" t="inlineStr">
        <is>
          <t>POSICIÓN FINANCIERA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 ht="20" customHeight="1">
      <c r="B6" s="7" t="inlineStr">
        <is>
          <t>CAPITAL INVERTIDO</t>
        </is>
      </c>
      <c r="C6" s="8" t="n"/>
      <c r="D6" s="9" t="n"/>
      <c r="E6" s="10" t="inlineStr">
        <is>
          <t>EFECTIVO DISPONIBLE</t>
        </is>
      </c>
      <c r="F6" s="11" t="n"/>
      <c r="G6" s="12" t="n"/>
      <c r="H6" s="13" t="inlineStr">
        <is>
          <t>RESERVA WALMART</t>
        </is>
      </c>
      <c r="I6" s="14" t="n"/>
      <c r="J6" s="15" t="n"/>
      <c r="K6" s="16" t="inlineStr">
        <is>
          <t>VALOR DEL INVENTARIO</t>
        </is>
      </c>
      <c r="L6" s="17" t="n"/>
      <c r="M6" s="18" t="n"/>
    </row>
    <row r="7" ht="36" customHeight="1">
      <c r="B7" s="19">
        <f>CFG_CAPITAL</f>
        <v/>
      </c>
      <c r="C7" s="20" t="n"/>
      <c r="D7" s="21" t="n"/>
      <c r="E7" s="22">
        <f>BANCO!E13</f>
        <v/>
      </c>
      <c r="F7" s="20" t="n"/>
      <c r="G7" s="21" t="n"/>
      <c r="H7" s="23">
        <f>WALMART!E9</f>
        <v/>
      </c>
      <c r="I7" s="20" t="n"/>
      <c r="J7" s="21" t="n"/>
      <c r="K7" s="24">
        <f>INVENTARIO!M27</f>
        <v/>
      </c>
      <c r="L7" s="20" t="n"/>
      <c r="M7" s="21" t="n"/>
    </row>
    <row r="8" ht="18" customHeight="1">
      <c r="B8" s="25" t="inlineStr">
        <is>
          <t>Aporte inicial del propietario</t>
        </is>
      </c>
      <c r="C8" s="26" t="n"/>
      <c r="D8" s="27" t="n"/>
      <c r="E8" s="28" t="inlineStr">
        <is>
          <t>Dinero listo para operar</t>
        </is>
      </c>
      <c r="F8" s="26" t="n"/>
      <c r="G8" s="27" t="n"/>
      <c r="H8" s="29" t="inlineStr">
        <is>
          <t>Propio · NO disponible aún</t>
        </is>
      </c>
      <c r="I8" s="26" t="n"/>
      <c r="J8" s="27" t="n"/>
      <c r="K8" s="30">
        <f>TEXT(INVENTARIO!H27,"#,##0")&amp;" unidades a costo real"</f>
        <v/>
      </c>
      <c r="L8" s="26" t="n"/>
      <c r="M8" s="27" t="n"/>
    </row>
    <row r="9" ht="8" customHeight="1"/>
    <row r="10" ht="20" customHeight="1">
      <c r="B10" s="7" t="inlineStr">
        <is>
          <t>ACTIVOS TOTALES</t>
        </is>
      </c>
      <c r="C10" s="8" t="n"/>
      <c r="D10" s="9" t="n"/>
      <c r="E10" s="31" t="inlineStr">
        <is>
          <t>DEUDA TARJETA CITI</t>
        </is>
      </c>
      <c r="F10" s="32" t="n"/>
      <c r="G10" s="33" t="n"/>
      <c r="H10" s="10" t="inlineStr">
        <is>
          <t>PATRIMONIO NETO</t>
        </is>
      </c>
      <c r="I10" s="11" t="n"/>
      <c r="J10" s="12" t="n"/>
      <c r="K10" s="13" t="inlineStr">
        <is>
          <t>WALMART POR LIQUIDAR</t>
        </is>
      </c>
      <c r="L10" s="14" t="n"/>
      <c r="M10" s="15" t="n"/>
    </row>
    <row r="11" ht="36" customHeight="1">
      <c r="B11" s="19">
        <f>BALANCE!C11</f>
        <v/>
      </c>
      <c r="C11" s="20" t="n"/>
      <c r="D11" s="21" t="n"/>
      <c r="E11" s="34">
        <f>BALANCE!C15</f>
        <v/>
      </c>
      <c r="F11" s="20" t="n"/>
      <c r="G11" s="21" t="n"/>
      <c r="H11" s="22">
        <f>BALANCE!C22</f>
        <v/>
      </c>
      <c r="I11" s="20" t="n"/>
      <c r="J11" s="21" t="n"/>
      <c r="K11" s="23">
        <f>WALMART!E18</f>
        <v/>
      </c>
      <c r="L11" s="20" t="n"/>
      <c r="M11" s="21" t="n"/>
    </row>
    <row r="12" ht="18" customHeight="1">
      <c r="B12" s="25" t="inlineStr">
        <is>
          <t>Efectivo + Walmart + Inventario</t>
        </is>
      </c>
      <c r="C12" s="26" t="n"/>
      <c r="D12" s="27" t="n"/>
      <c r="E12" s="35">
        <f>IF(BALANCE!C15&gt;0,"Pendiente de pago","Sin deuda")</f>
        <v/>
      </c>
      <c r="F12" s="26" t="n"/>
      <c r="G12" s="27" t="n"/>
      <c r="H12" s="28" t="inlineStr">
        <is>
          <t>Activos − Pasivos</t>
        </is>
      </c>
      <c r="I12" s="26" t="n"/>
      <c r="J12" s="27" t="n"/>
      <c r="K12" s="29" t="inlineStr">
        <is>
          <t>Próximo depósito estimado</t>
        </is>
      </c>
      <c r="L12" s="26" t="n"/>
      <c r="M12" s="27" t="n"/>
    </row>
    <row r="13" ht="8" customHeight="1"/>
    <row r="14" ht="20" customHeight="1">
      <c r="B14" s="5" t="inlineStr">
        <is>
          <t>DESEMPEÑO COMERCIAL (acumulado desde la apertura)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 ht="20" customHeight="1">
      <c r="B15" s="36" t="inlineStr">
        <is>
          <t>VENTAS BRUTAS</t>
        </is>
      </c>
      <c r="C15" s="37" t="n"/>
      <c r="D15" s="38" t="n"/>
      <c r="E15" s="10" t="inlineStr">
        <is>
          <t>UTILIDAD BRUTA</t>
        </is>
      </c>
      <c r="F15" s="11" t="n"/>
      <c r="G15" s="12" t="n"/>
      <c r="H15" s="7" t="inlineStr">
        <is>
          <t>UTILIDAD NETA</t>
        </is>
      </c>
      <c r="I15" s="8" t="n"/>
      <c r="J15" s="9" t="n"/>
      <c r="K15" s="16" t="inlineStr">
        <is>
          <t>MARGEN NETO</t>
        </is>
      </c>
      <c r="L15" s="17" t="n"/>
      <c r="M15" s="18" t="n"/>
    </row>
    <row r="16" ht="36" customHeight="1">
      <c r="B16" s="39">
        <f>ESTADO_RESULTADOS!Q8</f>
        <v/>
      </c>
      <c r="C16" s="20" t="n"/>
      <c r="D16" s="21" t="n"/>
      <c r="E16" s="22">
        <f>ESTADO_RESULTADOS!Q13</f>
        <v/>
      </c>
      <c r="F16" s="20" t="n"/>
      <c r="G16" s="21" t="n"/>
      <c r="H16" s="19">
        <f>ESTADO_RESULTADOS!Q29</f>
        <v/>
      </c>
      <c r="I16" s="20" t="n"/>
      <c r="J16" s="21" t="n"/>
      <c r="K16" s="40">
        <f>IF(ESTADO_RESULTADOS!Q8&gt;0,ESTADO_RESULTADOS!Q29/ESTADO_RESULTADOS!Q8,0)</f>
        <v/>
      </c>
      <c r="L16" s="20" t="n"/>
      <c r="M16" s="21" t="n"/>
    </row>
    <row r="17" ht="18" customHeight="1">
      <c r="B17" s="41">
        <f>TEXT(ESTADO_RESULTADOS!Q31,"#,##0")&amp;" unidades vendidas"</f>
        <v/>
      </c>
      <c r="C17" s="26" t="n"/>
      <c r="D17" s="27" t="n"/>
      <c r="E17" s="28" t="inlineStr">
        <is>
          <t>Después de comisiones y costo</t>
        </is>
      </c>
      <c r="F17" s="26" t="n"/>
      <c r="G17" s="27" t="n"/>
      <c r="H17" s="25" t="inlineStr">
        <is>
          <t>Después de gastos operativos</t>
        </is>
      </c>
      <c r="I17" s="26" t="n"/>
      <c r="J17" s="27" t="n"/>
      <c r="K17" s="30">
        <f>"Objetivo: "&amp;TEXT(CFG_MARGEN,"0%")</f>
        <v/>
      </c>
      <c r="L17" s="26" t="n"/>
      <c r="M17" s="27" t="n"/>
    </row>
    <row r="18" ht="8" customHeight="1"/>
    <row r="19" ht="20" customHeight="1">
      <c r="B19" s="42" t="inlineStr">
        <is>
          <t>ALERTAS Y CONTROLES</t>
        </is>
      </c>
      <c r="C19" s="43" t="n"/>
      <c r="D19" s="43" t="n"/>
      <c r="E19" s="43" t="n"/>
      <c r="F19" s="43" t="n"/>
      <c r="G19" s="43" t="n"/>
      <c r="I19" s="44" t="inlineStr">
        <is>
          <t>¿DÓNDE ESTÁ EL DINERO DE COTIMIX?</t>
        </is>
      </c>
      <c r="J19" s="45" t="n"/>
      <c r="K19" s="45" t="n"/>
      <c r="L19" s="45" t="n"/>
      <c r="M19" s="45" t="n"/>
    </row>
    <row r="20" ht="18" customHeight="1">
      <c r="B20" s="46" t="inlineStr">
        <is>
          <t>Cuadre del balance</t>
        </is>
      </c>
      <c r="C20" s="47" t="n"/>
      <c r="D20" s="47" t="n"/>
      <c r="E20" s="48">
        <f>BALANCE!D25</f>
        <v/>
      </c>
      <c r="F20" s="47" t="n"/>
      <c r="G20" s="47" t="n"/>
      <c r="I20" s="46" t="inlineStr">
        <is>
          <t>Efectivo / Banco</t>
        </is>
      </c>
      <c r="J20" s="47" t="n"/>
      <c r="K20" s="49">
        <f>MAX(BALANCE!C7,0)</f>
        <v/>
      </c>
      <c r="L20" s="50">
        <f>IF(SUM($K$20:$K$23)&gt;0,K20/SUM($K$20:$K$23),0)</f>
        <v/>
      </c>
      <c r="M20" s="51">
        <f>L20</f>
        <v/>
      </c>
    </row>
    <row r="21" ht="18" customHeight="1">
      <c r="B21" s="52" t="inlineStr">
        <is>
          <t>Productos sin precio de venta</t>
        </is>
      </c>
      <c r="C21" s="53" t="n"/>
      <c r="D21" s="53" t="n"/>
      <c r="E21" s="54">
        <f>COUNTIFS(INVENTARIO!$B$7:$B$26,"&lt;&gt;",INVENTARIO!$N$7:$N$26,"")&amp;" producto(s)"</f>
        <v/>
      </c>
      <c r="F21" s="53" t="n"/>
      <c r="G21" s="53" t="n"/>
      <c r="I21" s="52" t="inlineStr">
        <is>
          <t>Walmart por liquidar</t>
        </is>
      </c>
      <c r="J21" s="53" t="n"/>
      <c r="K21" s="55">
        <f>MAX(BALANCE!C8,0)</f>
        <v/>
      </c>
      <c r="L21" s="56">
        <f>IF(SUM($K$20:$K$23)&gt;0,K21/SUM($K$20:$K$23),0)</f>
        <v/>
      </c>
      <c r="M21" s="57">
        <f>L21</f>
        <v/>
      </c>
    </row>
    <row r="22" ht="18" customHeight="1">
      <c r="B22" s="46" t="inlineStr">
        <is>
          <t>Productos por reordenar / agotados</t>
        </is>
      </c>
      <c r="C22" s="47" t="n"/>
      <c r="D22" s="47" t="n"/>
      <c r="E22" s="48">
        <f>COUNTIF(INVENTARIO!$J$7:$J$26,"REORDENAR")&amp;" por reordenar · "&amp;COUNTIF(INVENTARIO!$J$7:$J$26,"AGOTADO")&amp;" agotado(s)"</f>
        <v/>
      </c>
      <c r="F22" s="47" t="n"/>
      <c r="G22" s="47" t="n"/>
      <c r="I22" s="46" t="inlineStr">
        <is>
          <t>Reserva Walmart</t>
        </is>
      </c>
      <c r="J22" s="47" t="n"/>
      <c r="K22" s="49">
        <f>MAX(BALANCE!C9,0)</f>
        <v/>
      </c>
      <c r="L22" s="50">
        <f>IF(SUM($K$20:$K$23)&gt;0,K22/SUM($K$20:$K$23),0)</f>
        <v/>
      </c>
      <c r="M22" s="51">
        <f>L22</f>
        <v/>
      </c>
    </row>
    <row r="23" ht="18" customHeight="1">
      <c r="B23" s="52" t="inlineStr">
        <is>
          <t>Margen por debajo del objetivo</t>
        </is>
      </c>
      <c r="C23" s="53" t="n"/>
      <c r="D23" s="53" t="n"/>
      <c r="E23" s="54">
        <f>COUNTIFS(INVENTARIO!$S$7:$S$26,"&lt;"&amp;CFG_MARGEN,INVENTARIO!$N$7:$N$26,"&lt;&gt;")&amp;" producto(s)"</f>
        <v/>
      </c>
      <c r="F23" s="53" t="n"/>
      <c r="G23" s="53" t="n"/>
      <c r="I23" s="52" t="inlineStr">
        <is>
          <t>Inventario</t>
        </is>
      </c>
      <c r="J23" s="53" t="n"/>
      <c r="K23" s="55">
        <f>MAX(BALANCE!C10,0)</f>
        <v/>
      </c>
      <c r="L23" s="56">
        <f>IF(SUM($K$20:$K$23)&gt;0,K23/SUM($K$20:$K$23),0)</f>
        <v/>
      </c>
      <c r="M23" s="57">
        <f>L23</f>
        <v/>
      </c>
    </row>
    <row r="24" ht="18" customHeight="1">
      <c r="B24" s="46" t="inlineStr">
        <is>
          <t>Liquidez inmediata (efectivo ÷ deuda)</t>
        </is>
      </c>
      <c r="C24" s="47" t="n"/>
      <c r="D24" s="47" t="n"/>
      <c r="E24" s="48">
        <f>IF(BALANCE!C15&gt;0,TEXT(BALANCE!C28,"0.00")&amp;"x"&amp;IF(BALANCE!C28&gt;=1,"  ✔ cubre la deuda","  ⚠ no cubre la deuda"),"Sin deuda")</f>
        <v/>
      </c>
      <c r="F24" s="47" t="n"/>
      <c r="G24" s="47" t="n"/>
    </row>
    <row r="25" ht="18" customHeight="1">
      <c r="B25" s="52" t="inlineStr">
        <is>
          <t>Dinero total de COTIMIX (efectivo + Walmart)</t>
        </is>
      </c>
      <c r="C25" s="53" t="n"/>
      <c r="D25" s="53" t="n"/>
      <c r="E25" s="54">
        <f>TEXT(BALANCE!C7+BALANCE!C8+BALANCE!C9,"$#,##0.00")</f>
        <v/>
      </c>
      <c r="F25" s="53" t="n"/>
      <c r="G25" s="53" t="n"/>
    </row>
    <row r="26" ht="8" customHeight="1"/>
    <row r="27" ht="20" customHeight="1">
      <c r="B27" s="5" t="inlineStr">
        <is>
          <t>INVENTARIO Y RENTABILIDAD POR PRODUCTO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 ht="30" customHeight="1">
      <c r="B28" s="58" t="inlineStr">
        <is>
          <t>Producto</t>
        </is>
      </c>
      <c r="C28" s="59" t="n"/>
      <c r="D28" s="58" t="inlineStr">
        <is>
          <t>Stock</t>
        </is>
      </c>
      <c r="E28" s="58" t="inlineStr">
        <is>
          <t>Costo real
unitario</t>
        </is>
      </c>
      <c r="F28" s="58" t="inlineStr">
        <is>
          <t>Precio
venta</t>
        </is>
      </c>
      <c r="G28" s="58" t="inlineStr">
        <is>
          <t>Utilidad
unitaria</t>
        </is>
      </c>
      <c r="H28" s="58" t="inlineStr">
        <is>
          <t>Margen
neto</t>
        </is>
      </c>
      <c r="I28" s="58" t="inlineStr">
        <is>
          <t>Valor
inventario</t>
        </is>
      </c>
      <c r="J28" s="58" t="inlineStr">
        <is>
          <t>Unid.
vendidas</t>
        </is>
      </c>
      <c r="K28" s="58" t="inlineStr">
        <is>
          <t>Precio
sugerido</t>
        </is>
      </c>
      <c r="L28" s="60" t="inlineStr">
        <is>
          <t>Estado</t>
        </is>
      </c>
      <c r="M28" s="59" t="n"/>
    </row>
    <row r="29" ht="18" customHeight="1">
      <c r="B29" s="61">
        <f>IF(INVENTARIO!B7="","",INVENTARIO!C7)</f>
        <v/>
      </c>
      <c r="C29" s="47" t="n"/>
      <c r="D29" s="62">
        <f>IF(INVENTARIO!B7="","",INVENTARIO!H7)</f>
        <v/>
      </c>
      <c r="E29" s="63">
        <f>IF(INVENTARIO!B7="","",INVENTARIO!L7)</f>
        <v/>
      </c>
      <c r="F29" s="64">
        <f>IF(INVENTARIO!B7="","",IF(INVENTARIO!N7="","Definir",INVENTARIO!N7))</f>
        <v/>
      </c>
      <c r="G29" s="64">
        <f>IF(INVENTARIO!R7="","",INVENTARIO!R7)</f>
        <v/>
      </c>
      <c r="H29" s="65">
        <f>IF(INVENTARIO!S7="","",INVENTARIO!S7)</f>
        <v/>
      </c>
      <c r="I29" s="66">
        <f>IF(INVENTARIO!B7="","",INVENTARIO!M7)</f>
        <v/>
      </c>
      <c r="J29" s="62">
        <f>IF(INVENTARIO!B7="","",INVENTARIO!G7)</f>
        <v/>
      </c>
      <c r="K29" s="64">
        <f>IF(INVENTARIO!B7="","",INVENTARIO!V7)</f>
        <v/>
      </c>
      <c r="L29" s="67">
        <f>IF(INVENTARIO!B7="","",INVENTARIO!J7)</f>
        <v/>
      </c>
      <c r="M29" s="47" t="n"/>
    </row>
    <row r="30" ht="18" customHeight="1">
      <c r="B30" s="68">
        <f>IF(INVENTARIO!B8="","",INVENTARIO!C8)</f>
        <v/>
      </c>
      <c r="C30" s="53" t="n"/>
      <c r="D30" s="69">
        <f>IF(INVENTARIO!B8="","",INVENTARIO!H8)</f>
        <v/>
      </c>
      <c r="E30" s="70">
        <f>IF(INVENTARIO!B8="","",INVENTARIO!L8)</f>
        <v/>
      </c>
      <c r="F30" s="71">
        <f>IF(INVENTARIO!B8="","",IF(INVENTARIO!N8="","Definir",INVENTARIO!N8))</f>
        <v/>
      </c>
      <c r="G30" s="71">
        <f>IF(INVENTARIO!R8="","",INVENTARIO!R8)</f>
        <v/>
      </c>
      <c r="H30" s="72">
        <f>IF(INVENTARIO!S8="","",INVENTARIO!S8)</f>
        <v/>
      </c>
      <c r="I30" s="73">
        <f>IF(INVENTARIO!B8="","",INVENTARIO!M8)</f>
        <v/>
      </c>
      <c r="J30" s="69">
        <f>IF(INVENTARIO!B8="","",INVENTARIO!G8)</f>
        <v/>
      </c>
      <c r="K30" s="71">
        <f>IF(INVENTARIO!B8="","",INVENTARIO!V8)</f>
        <v/>
      </c>
      <c r="L30" s="74">
        <f>IF(INVENTARIO!B8="","",INVENTARIO!J8)</f>
        <v/>
      </c>
      <c r="M30" s="53" t="n"/>
    </row>
    <row r="31" ht="18" customHeight="1">
      <c r="B31" s="61">
        <f>IF(INVENTARIO!B9="","",INVENTARIO!C9)</f>
        <v/>
      </c>
      <c r="C31" s="47" t="n"/>
      <c r="D31" s="62">
        <f>IF(INVENTARIO!B9="","",INVENTARIO!H9)</f>
        <v/>
      </c>
      <c r="E31" s="63">
        <f>IF(INVENTARIO!B9="","",INVENTARIO!L9)</f>
        <v/>
      </c>
      <c r="F31" s="64">
        <f>IF(INVENTARIO!B9="","",IF(INVENTARIO!N9="","Definir",INVENTARIO!N9))</f>
        <v/>
      </c>
      <c r="G31" s="64">
        <f>IF(INVENTARIO!R9="","",INVENTARIO!R9)</f>
        <v/>
      </c>
      <c r="H31" s="65">
        <f>IF(INVENTARIO!S9="","",INVENTARIO!S9)</f>
        <v/>
      </c>
      <c r="I31" s="66">
        <f>IF(INVENTARIO!B9="","",INVENTARIO!M9)</f>
        <v/>
      </c>
      <c r="J31" s="62">
        <f>IF(INVENTARIO!B9="","",INVENTARIO!G9)</f>
        <v/>
      </c>
      <c r="K31" s="64">
        <f>IF(INVENTARIO!B9="","",INVENTARIO!V9)</f>
        <v/>
      </c>
      <c r="L31" s="67">
        <f>IF(INVENTARIO!B9="","",INVENTARIO!J9)</f>
        <v/>
      </c>
      <c r="M31" s="47" t="n"/>
    </row>
    <row r="32" ht="18" customHeight="1">
      <c r="B32" s="68">
        <f>IF(INVENTARIO!B10="","",INVENTARIO!C10)</f>
        <v/>
      </c>
      <c r="C32" s="53" t="n"/>
      <c r="D32" s="69">
        <f>IF(INVENTARIO!B10="","",INVENTARIO!H10)</f>
        <v/>
      </c>
      <c r="E32" s="70">
        <f>IF(INVENTARIO!B10="","",INVENTARIO!L10)</f>
        <v/>
      </c>
      <c r="F32" s="71">
        <f>IF(INVENTARIO!B10="","",IF(INVENTARIO!N10="","Definir",INVENTARIO!N10))</f>
        <v/>
      </c>
      <c r="G32" s="71">
        <f>IF(INVENTARIO!R10="","",INVENTARIO!R10)</f>
        <v/>
      </c>
      <c r="H32" s="72">
        <f>IF(INVENTARIO!S10="","",INVENTARIO!S10)</f>
        <v/>
      </c>
      <c r="I32" s="73">
        <f>IF(INVENTARIO!B10="","",INVENTARIO!M10)</f>
        <v/>
      </c>
      <c r="J32" s="69">
        <f>IF(INVENTARIO!B10="","",INVENTARIO!G10)</f>
        <v/>
      </c>
      <c r="K32" s="71">
        <f>IF(INVENTARIO!B10="","",INVENTARIO!V10)</f>
        <v/>
      </c>
      <c r="L32" s="74">
        <f>IF(INVENTARIO!B10="","",INVENTARIO!J10)</f>
        <v/>
      </c>
      <c r="M32" s="53" t="n"/>
    </row>
    <row r="33" ht="18" customHeight="1">
      <c r="B33" s="61">
        <f>IF(INVENTARIO!B11="","",INVENTARIO!C11)</f>
        <v/>
      </c>
      <c r="C33" s="47" t="n"/>
      <c r="D33" s="62">
        <f>IF(INVENTARIO!B11="","",INVENTARIO!H11)</f>
        <v/>
      </c>
      <c r="E33" s="63">
        <f>IF(INVENTARIO!B11="","",INVENTARIO!L11)</f>
        <v/>
      </c>
      <c r="F33" s="64">
        <f>IF(INVENTARIO!B11="","",IF(INVENTARIO!N11="","Definir",INVENTARIO!N11))</f>
        <v/>
      </c>
      <c r="G33" s="64">
        <f>IF(INVENTARIO!R11="","",INVENTARIO!R11)</f>
        <v/>
      </c>
      <c r="H33" s="65">
        <f>IF(INVENTARIO!S11="","",INVENTARIO!S11)</f>
        <v/>
      </c>
      <c r="I33" s="66">
        <f>IF(INVENTARIO!B11="","",INVENTARIO!M11)</f>
        <v/>
      </c>
      <c r="J33" s="62">
        <f>IF(INVENTARIO!B11="","",INVENTARIO!G11)</f>
        <v/>
      </c>
      <c r="K33" s="64">
        <f>IF(INVENTARIO!B11="","",INVENTARIO!V11)</f>
        <v/>
      </c>
      <c r="L33" s="67">
        <f>IF(INVENTARIO!B11="","",INVENTARIO!J11)</f>
        <v/>
      </c>
      <c r="M33" s="47" t="n"/>
    </row>
    <row r="34" ht="18" customHeight="1">
      <c r="B34" s="68">
        <f>IF(INVENTARIO!B12="","",INVENTARIO!C12)</f>
        <v/>
      </c>
      <c r="C34" s="53" t="n"/>
      <c r="D34" s="69">
        <f>IF(INVENTARIO!B12="","",INVENTARIO!H12)</f>
        <v/>
      </c>
      <c r="E34" s="70">
        <f>IF(INVENTARIO!B12="","",INVENTARIO!L12)</f>
        <v/>
      </c>
      <c r="F34" s="71">
        <f>IF(INVENTARIO!B12="","",IF(INVENTARIO!N12="","Definir",INVENTARIO!N12))</f>
        <v/>
      </c>
      <c r="G34" s="71">
        <f>IF(INVENTARIO!R12="","",INVENTARIO!R12)</f>
        <v/>
      </c>
      <c r="H34" s="72">
        <f>IF(INVENTARIO!S12="","",INVENTARIO!S12)</f>
        <v/>
      </c>
      <c r="I34" s="73">
        <f>IF(INVENTARIO!B12="","",INVENTARIO!M12)</f>
        <v/>
      </c>
      <c r="J34" s="69">
        <f>IF(INVENTARIO!B12="","",INVENTARIO!G12)</f>
        <v/>
      </c>
      <c r="K34" s="71">
        <f>IF(INVENTARIO!B12="","",INVENTARIO!V12)</f>
        <v/>
      </c>
      <c r="L34" s="74">
        <f>IF(INVENTARIO!B12="","",INVENTARIO!J12)</f>
        <v/>
      </c>
      <c r="M34" s="53" t="n"/>
    </row>
    <row r="35" ht="18" customHeight="1">
      <c r="B35" s="61">
        <f>IF(INVENTARIO!B13="","",INVENTARIO!C13)</f>
        <v/>
      </c>
      <c r="C35" s="47" t="n"/>
      <c r="D35" s="62">
        <f>IF(INVENTARIO!B13="","",INVENTARIO!H13)</f>
        <v/>
      </c>
      <c r="E35" s="63">
        <f>IF(INVENTARIO!B13="","",INVENTARIO!L13)</f>
        <v/>
      </c>
      <c r="F35" s="64">
        <f>IF(INVENTARIO!B13="","",IF(INVENTARIO!N13="","Definir",INVENTARIO!N13))</f>
        <v/>
      </c>
      <c r="G35" s="64">
        <f>IF(INVENTARIO!R13="","",INVENTARIO!R13)</f>
        <v/>
      </c>
      <c r="H35" s="65">
        <f>IF(INVENTARIO!S13="","",INVENTARIO!S13)</f>
        <v/>
      </c>
      <c r="I35" s="66">
        <f>IF(INVENTARIO!B13="","",INVENTARIO!M13)</f>
        <v/>
      </c>
      <c r="J35" s="62">
        <f>IF(INVENTARIO!B13="","",INVENTARIO!G13)</f>
        <v/>
      </c>
      <c r="K35" s="64">
        <f>IF(INVENTARIO!B13="","",INVENTARIO!V13)</f>
        <v/>
      </c>
      <c r="L35" s="67">
        <f>IF(INVENTARIO!B13="","",INVENTARIO!J13)</f>
        <v/>
      </c>
      <c r="M35" s="47" t="n"/>
    </row>
    <row r="36" ht="18" customHeight="1">
      <c r="B36" s="68">
        <f>IF(INVENTARIO!B14="","",INVENTARIO!C14)</f>
        <v/>
      </c>
      <c r="C36" s="53" t="n"/>
      <c r="D36" s="69">
        <f>IF(INVENTARIO!B14="","",INVENTARIO!H14)</f>
        <v/>
      </c>
      <c r="E36" s="70">
        <f>IF(INVENTARIO!B14="","",INVENTARIO!L14)</f>
        <v/>
      </c>
      <c r="F36" s="71">
        <f>IF(INVENTARIO!B14="","",IF(INVENTARIO!N14="","Definir",INVENTARIO!N14))</f>
        <v/>
      </c>
      <c r="G36" s="71">
        <f>IF(INVENTARIO!R14="","",INVENTARIO!R14)</f>
        <v/>
      </c>
      <c r="H36" s="72">
        <f>IF(INVENTARIO!S14="","",INVENTARIO!S14)</f>
        <v/>
      </c>
      <c r="I36" s="73">
        <f>IF(INVENTARIO!B14="","",INVENTARIO!M14)</f>
        <v/>
      </c>
      <c r="J36" s="69">
        <f>IF(INVENTARIO!B14="","",INVENTARIO!G14)</f>
        <v/>
      </c>
      <c r="K36" s="71">
        <f>IF(INVENTARIO!B14="","",INVENTARIO!V14)</f>
        <v/>
      </c>
      <c r="L36" s="74">
        <f>IF(INVENTARIO!B14="","",INVENTARIO!J14)</f>
        <v/>
      </c>
      <c r="M36" s="53" t="n"/>
    </row>
    <row r="37">
      <c r="B37" s="75" t="inlineStr">
        <is>
          <t>TOTAL</t>
        </is>
      </c>
      <c r="C37" s="75" t="n"/>
      <c r="D37" s="76">
        <f>INVENTARIO!H27</f>
        <v/>
      </c>
      <c r="E37" s="77" t="n"/>
      <c r="F37" s="77" t="n"/>
      <c r="G37" s="77" t="n"/>
      <c r="H37" s="77" t="n"/>
      <c r="I37" s="78">
        <f>INVENTARIO!M27</f>
        <v/>
      </c>
      <c r="J37" s="76">
        <f>INVENTARIO!G27</f>
        <v/>
      </c>
      <c r="K37" s="77" t="n"/>
      <c r="L37" s="77" t="n"/>
      <c r="M37" s="77" t="n"/>
    </row>
    <row r="38">
      <c r="B38" s="79" t="inlineStr">
        <is>
          <t>Muestra los primeros 8 productos del catálogo. Detalle completo en la hoja INVENTARIO.</t>
        </is>
      </c>
    </row>
    <row r="40" ht="20" customHeight="1">
      <c r="B40" s="42" t="inlineStr">
        <is>
          <t>GASTOS POR CATEGORÍA (acumulado)</t>
        </is>
      </c>
      <c r="C40" s="43" t="n"/>
      <c r="D40" s="43" t="n"/>
      <c r="E40" s="43" t="n"/>
      <c r="F40" s="43" t="n"/>
      <c r="G40" s="43" t="n"/>
      <c r="I40" s="5" t="inlineStr">
        <is>
          <t>RESUMEN MENSUAL DEL AÑO</t>
        </is>
      </c>
      <c r="J40" s="6" t="n"/>
      <c r="K40" s="6" t="n"/>
      <c r="L40" s="6" t="n"/>
      <c r="M40" s="6" t="n"/>
    </row>
    <row r="41" ht="22" customHeight="1">
      <c r="B41" s="80" t="inlineStr">
        <is>
          <t>Publicidad (Walmart Sponsored)</t>
        </is>
      </c>
      <c r="C41" s="47" t="n"/>
      <c r="D41" s="47" t="n"/>
      <c r="E41" s="47" t="n"/>
      <c r="F41" s="49">
        <f>SUMIFS(GASTOS!$J$6:$J$305,GASTOS!$C$6:$C$305,B41)</f>
        <v/>
      </c>
      <c r="G41" s="50">
        <f>IF(SUM($F$41:$F$50)&gt;0,F41/SUM($F$41:$F$50),0)</f>
        <v/>
      </c>
      <c r="I41" s="58" t="inlineStr">
        <is>
          <t>Mes</t>
        </is>
      </c>
      <c r="J41" s="58" t="inlineStr">
        <is>
          <t>Ventas brutas</t>
        </is>
      </c>
      <c r="K41" s="58" t="inlineStr">
        <is>
          <t>Ingreso neto</t>
        </is>
      </c>
      <c r="L41" s="58" t="inlineStr">
        <is>
          <t>Utilidad neta</t>
        </is>
      </c>
      <c r="M41" s="59" t="n"/>
    </row>
    <row r="42">
      <c r="B42" s="81" t="inlineStr">
        <is>
          <t>Envíos y logística</t>
        </is>
      </c>
      <c r="C42" s="53" t="n"/>
      <c r="D42" s="53" t="n"/>
      <c r="E42" s="53" t="n"/>
      <c r="F42" s="55">
        <f>SUMIFS(GASTOS!$J$6:$J$305,GASTOS!$C$6:$C$305,B42)</f>
        <v/>
      </c>
      <c r="G42" s="56">
        <f>IF(SUM($F$41:$F$50)&gt;0,F42/SUM($F$41:$F$50),0)</f>
        <v/>
      </c>
      <c r="I42" s="82" t="inlineStr">
        <is>
          <t>ENE</t>
        </is>
      </c>
      <c r="J42" s="83">
        <f>ESTADO_RESULTADOS!C8</f>
        <v/>
      </c>
      <c r="K42" s="83">
        <f>ESTADO_RESULTADOS!C11</f>
        <v/>
      </c>
      <c r="L42" s="83">
        <f>ESTADO_RESULTADOS!C29</f>
        <v/>
      </c>
      <c r="M42" s="84" t="n"/>
    </row>
    <row r="43">
      <c r="B43" s="80" t="inlineStr">
        <is>
          <t>Fulfillment / WFS</t>
        </is>
      </c>
      <c r="C43" s="47" t="n"/>
      <c r="D43" s="47" t="n"/>
      <c r="E43" s="47" t="n"/>
      <c r="F43" s="49">
        <f>SUMIFS(GASTOS!$J$6:$J$305,GASTOS!$C$6:$C$305,B43)</f>
        <v/>
      </c>
      <c r="G43" s="50">
        <f>IF(SUM($F$41:$F$50)&gt;0,F43/SUM($F$41:$F$50),0)</f>
        <v/>
      </c>
      <c r="I43" s="85" t="inlineStr">
        <is>
          <t>FEB</t>
        </is>
      </c>
      <c r="J43" s="86">
        <f>ESTADO_RESULTADOS!D8</f>
        <v/>
      </c>
      <c r="K43" s="86">
        <f>ESTADO_RESULTADOS!D11</f>
        <v/>
      </c>
      <c r="L43" s="86">
        <f>ESTADO_RESULTADOS!D29</f>
        <v/>
      </c>
      <c r="M43" s="87" t="n"/>
    </row>
    <row r="44">
      <c r="B44" s="81" t="inlineStr">
        <is>
          <t>Empaque y suministros</t>
        </is>
      </c>
      <c r="C44" s="53" t="n"/>
      <c r="D44" s="53" t="n"/>
      <c r="E44" s="53" t="n"/>
      <c r="F44" s="55">
        <f>SUMIFS(GASTOS!$J$6:$J$305,GASTOS!$C$6:$C$305,B44)</f>
        <v/>
      </c>
      <c r="G44" s="56">
        <f>IF(SUM($F$41:$F$50)&gt;0,F44/SUM($F$41:$F$50),0)</f>
        <v/>
      </c>
      <c r="I44" s="82" t="inlineStr">
        <is>
          <t>MAR</t>
        </is>
      </c>
      <c r="J44" s="83">
        <f>ESTADO_RESULTADOS!E8</f>
        <v/>
      </c>
      <c r="K44" s="83">
        <f>ESTADO_RESULTADOS!E11</f>
        <v/>
      </c>
      <c r="L44" s="83">
        <f>ESTADO_RESULTADOS!E29</f>
        <v/>
      </c>
      <c r="M44" s="84" t="n"/>
    </row>
    <row r="45">
      <c r="B45" s="80" t="inlineStr">
        <is>
          <t>Devoluciones y reembolsos</t>
        </is>
      </c>
      <c r="C45" s="47" t="n"/>
      <c r="D45" s="47" t="n"/>
      <c r="E45" s="47" t="n"/>
      <c r="F45" s="49">
        <f>SUMIFS(GASTOS!$J$6:$J$305,GASTOS!$C$6:$C$305,B45)</f>
        <v/>
      </c>
      <c r="G45" s="50">
        <f>IF(SUM($F$41:$F$50)&gt;0,F45/SUM($F$41:$F$50),0)</f>
        <v/>
      </c>
      <c r="I45" s="85" t="inlineStr">
        <is>
          <t>ABR</t>
        </is>
      </c>
      <c r="J45" s="86">
        <f>ESTADO_RESULTADOS!F8</f>
        <v/>
      </c>
      <c r="K45" s="86">
        <f>ESTADO_RESULTADOS!F11</f>
        <v/>
      </c>
      <c r="L45" s="86">
        <f>ESTADO_RESULTADOS!F29</f>
        <v/>
      </c>
      <c r="M45" s="87" t="n"/>
    </row>
    <row r="46">
      <c r="B46" s="81" t="inlineStr">
        <is>
          <t>Software y suscripciones</t>
        </is>
      </c>
      <c r="C46" s="53" t="n"/>
      <c r="D46" s="53" t="n"/>
      <c r="E46" s="53" t="n"/>
      <c r="F46" s="55">
        <f>SUMIFS(GASTOS!$J$6:$J$305,GASTOS!$C$6:$C$305,B46)</f>
        <v/>
      </c>
      <c r="G46" s="56">
        <f>IF(SUM($F$41:$F$50)&gt;0,F46/SUM($F$41:$F$50),0)</f>
        <v/>
      </c>
      <c r="I46" s="82" t="inlineStr">
        <is>
          <t>MAY</t>
        </is>
      </c>
      <c r="J46" s="83">
        <f>ESTADO_RESULTADOS!G8</f>
        <v/>
      </c>
      <c r="K46" s="83">
        <f>ESTADO_RESULTADOS!G11</f>
        <v/>
      </c>
      <c r="L46" s="83">
        <f>ESTADO_RESULTADOS!G29</f>
        <v/>
      </c>
      <c r="M46" s="84" t="n"/>
    </row>
    <row r="47">
      <c r="B47" s="80" t="inlineStr">
        <is>
          <t>Comisiones bancarias</t>
        </is>
      </c>
      <c r="C47" s="47" t="n"/>
      <c r="D47" s="47" t="n"/>
      <c r="E47" s="47" t="n"/>
      <c r="F47" s="49">
        <f>SUMIFS(GASTOS!$J$6:$J$305,GASTOS!$C$6:$C$305,B47)</f>
        <v/>
      </c>
      <c r="G47" s="50">
        <f>IF(SUM($F$41:$F$50)&gt;0,F47/SUM($F$41:$F$50),0)</f>
        <v/>
      </c>
      <c r="I47" s="85" t="inlineStr">
        <is>
          <t>JUN</t>
        </is>
      </c>
      <c r="J47" s="86">
        <f>ESTADO_RESULTADOS!H8</f>
        <v/>
      </c>
      <c r="K47" s="86">
        <f>ESTADO_RESULTADOS!H11</f>
        <v/>
      </c>
      <c r="L47" s="86">
        <f>ESTADO_RESULTADOS!H29</f>
        <v/>
      </c>
      <c r="M47" s="87" t="n"/>
    </row>
    <row r="48">
      <c r="B48" s="81" t="inlineStr">
        <is>
          <t>Servicios profesionales</t>
        </is>
      </c>
      <c r="C48" s="53" t="n"/>
      <c r="D48" s="53" t="n"/>
      <c r="E48" s="53" t="n"/>
      <c r="F48" s="55">
        <f>SUMIFS(GASTOS!$J$6:$J$305,GASTOS!$C$6:$C$305,B48)</f>
        <v/>
      </c>
      <c r="G48" s="56">
        <f>IF(SUM($F$41:$F$50)&gt;0,F48/SUM($F$41:$F$50),0)</f>
        <v/>
      </c>
      <c r="I48" s="82" t="inlineStr">
        <is>
          <t>JUL</t>
        </is>
      </c>
      <c r="J48" s="83">
        <f>ESTADO_RESULTADOS!I8</f>
        <v/>
      </c>
      <c r="K48" s="83">
        <f>ESTADO_RESULTADOS!I11</f>
        <v/>
      </c>
      <c r="L48" s="83">
        <f>ESTADO_RESULTADOS!I29</f>
        <v/>
      </c>
      <c r="M48" s="84" t="n"/>
    </row>
    <row r="49">
      <c r="B49" s="80" t="inlineStr">
        <is>
          <t>Impuestos y licencias</t>
        </is>
      </c>
      <c r="C49" s="47" t="n"/>
      <c r="D49" s="47" t="n"/>
      <c r="E49" s="47" t="n"/>
      <c r="F49" s="49">
        <f>SUMIFS(GASTOS!$J$6:$J$305,GASTOS!$C$6:$C$305,B49)</f>
        <v/>
      </c>
      <c r="G49" s="50">
        <f>IF(SUM($F$41:$F$50)&gt;0,F49/SUM($F$41:$F$50),0)</f>
        <v/>
      </c>
      <c r="I49" s="85" t="inlineStr">
        <is>
          <t>AGO</t>
        </is>
      </c>
      <c r="J49" s="86">
        <f>ESTADO_RESULTADOS!J8</f>
        <v/>
      </c>
      <c r="K49" s="86">
        <f>ESTADO_RESULTADOS!J11</f>
        <v/>
      </c>
      <c r="L49" s="86">
        <f>ESTADO_RESULTADOS!J29</f>
        <v/>
      </c>
      <c r="M49" s="87" t="n"/>
    </row>
    <row r="50">
      <c r="B50" s="81" t="inlineStr">
        <is>
          <t>Otros gastos</t>
        </is>
      </c>
      <c r="C50" s="53" t="n"/>
      <c r="D50" s="53" t="n"/>
      <c r="E50" s="53" t="n"/>
      <c r="F50" s="55">
        <f>SUMIFS(GASTOS!$J$6:$J$305,GASTOS!$C$6:$C$305,B50)</f>
        <v/>
      </c>
      <c r="G50" s="56">
        <f>IF(SUM($F$41:$F$50)&gt;0,F50/SUM($F$41:$F$50),0)</f>
        <v/>
      </c>
      <c r="I50" s="82" t="inlineStr">
        <is>
          <t>SEP</t>
        </is>
      </c>
      <c r="J50" s="83">
        <f>ESTADO_RESULTADOS!K8</f>
        <v/>
      </c>
      <c r="K50" s="83">
        <f>ESTADO_RESULTADOS!K11</f>
        <v/>
      </c>
      <c r="L50" s="83">
        <f>ESTADO_RESULTADOS!K29</f>
        <v/>
      </c>
      <c r="M50" s="84" t="n"/>
    </row>
    <row r="51">
      <c r="B51" s="88" t="inlineStr">
        <is>
          <t>TOTAL GASTOS</t>
        </is>
      </c>
      <c r="C51" s="88" t="n"/>
      <c r="D51" s="88" t="n"/>
      <c r="E51" s="88" t="n"/>
      <c r="F51" s="89">
        <f>SUM(F41:F50)</f>
        <v/>
      </c>
      <c r="G51" s="88" t="n"/>
      <c r="I51" s="85" t="inlineStr">
        <is>
          <t>OCT</t>
        </is>
      </c>
      <c r="J51" s="86">
        <f>ESTADO_RESULTADOS!L8</f>
        <v/>
      </c>
      <c r="K51" s="86">
        <f>ESTADO_RESULTADOS!L11</f>
        <v/>
      </c>
      <c r="L51" s="86">
        <f>ESTADO_RESULTADOS!L29</f>
        <v/>
      </c>
      <c r="M51" s="87" t="n"/>
    </row>
    <row r="52">
      <c r="I52" s="82" t="inlineStr">
        <is>
          <t>NOV</t>
        </is>
      </c>
      <c r="J52" s="83">
        <f>ESTADO_RESULTADOS!M8</f>
        <v/>
      </c>
      <c r="K52" s="83">
        <f>ESTADO_RESULTADOS!M11</f>
        <v/>
      </c>
      <c r="L52" s="83">
        <f>ESTADO_RESULTADOS!M29</f>
        <v/>
      </c>
      <c r="M52" s="84" t="n"/>
    </row>
    <row r="53">
      <c r="I53" s="85" t="inlineStr">
        <is>
          <t>DIC</t>
        </is>
      </c>
      <c r="J53" s="86">
        <f>ESTADO_RESULTADOS!N8</f>
        <v/>
      </c>
      <c r="K53" s="86">
        <f>ESTADO_RESULTADOS!N11</f>
        <v/>
      </c>
      <c r="L53" s="86">
        <f>ESTADO_RESULTADOS!N29</f>
        <v/>
      </c>
      <c r="M53" s="87" t="n"/>
    </row>
    <row r="56" ht="20" customHeight="1">
      <c r="B56" s="5" t="inlineStr">
        <is>
          <t>ANÁLISIS GRÁFICO</t>
        </is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</sheetData>
  <mergeCells count="95">
    <mergeCell ref="B11:D11"/>
    <mergeCell ref="B31:C31"/>
    <mergeCell ref="H17:J17"/>
    <mergeCell ref="L28:M28"/>
    <mergeCell ref="E15:G15"/>
    <mergeCell ref="H11:J11"/>
    <mergeCell ref="L53:M53"/>
    <mergeCell ref="B45:E45"/>
    <mergeCell ref="B47:E47"/>
    <mergeCell ref="K17:M17"/>
    <mergeCell ref="L45:M45"/>
    <mergeCell ref="E7:G7"/>
    <mergeCell ref="B6:D6"/>
    <mergeCell ref="B20:D20"/>
    <mergeCell ref="E16:G16"/>
    <mergeCell ref="L29:M29"/>
    <mergeCell ref="K10:M10"/>
    <mergeCell ref="K16:M16"/>
    <mergeCell ref="L31:M31"/>
    <mergeCell ref="I20:J20"/>
    <mergeCell ref="B33:C33"/>
    <mergeCell ref="B32:C32"/>
    <mergeCell ref="B35:C35"/>
    <mergeCell ref="E20:G20"/>
    <mergeCell ref="K11:M11"/>
    <mergeCell ref="B49:E49"/>
    <mergeCell ref="B8:D8"/>
    <mergeCell ref="B17:D17"/>
    <mergeCell ref="B51:E51"/>
    <mergeCell ref="K12:M12"/>
    <mergeCell ref="H7:J7"/>
    <mergeCell ref="E6:G6"/>
    <mergeCell ref="B10:D10"/>
    <mergeCell ref="H16:J16"/>
    <mergeCell ref="K8:M8"/>
    <mergeCell ref="B41:E41"/>
    <mergeCell ref="B50:E50"/>
    <mergeCell ref="L42:M42"/>
    <mergeCell ref="K7:M7"/>
    <mergeCell ref="L30:M30"/>
    <mergeCell ref="B29:C29"/>
    <mergeCell ref="B37:C37"/>
    <mergeCell ref="L44:M44"/>
    <mergeCell ref="E24:G24"/>
    <mergeCell ref="L46:M46"/>
    <mergeCell ref="E8:G8"/>
    <mergeCell ref="E17:G17"/>
    <mergeCell ref="B21:D21"/>
    <mergeCell ref="H6:J6"/>
    <mergeCell ref="L48:M48"/>
    <mergeCell ref="E10:G10"/>
    <mergeCell ref="B23:D23"/>
    <mergeCell ref="L32:M32"/>
    <mergeCell ref="L47:M47"/>
    <mergeCell ref="L43:M43"/>
    <mergeCell ref="E11:G11"/>
    <mergeCell ref="L33:M33"/>
    <mergeCell ref="H15:J15"/>
    <mergeCell ref="I21:J21"/>
    <mergeCell ref="L35:M35"/>
    <mergeCell ref="E22:G22"/>
    <mergeCell ref="B43:E43"/>
    <mergeCell ref="B34:C34"/>
    <mergeCell ref="B28:C28"/>
    <mergeCell ref="H8:J8"/>
    <mergeCell ref="L50:M50"/>
    <mergeCell ref="E12:G12"/>
    <mergeCell ref="I23:J23"/>
    <mergeCell ref="E21:G21"/>
    <mergeCell ref="B25:D25"/>
    <mergeCell ref="B42:E42"/>
    <mergeCell ref="K15:M15"/>
    <mergeCell ref="B30:C30"/>
    <mergeCell ref="H10:J10"/>
    <mergeCell ref="L52:M52"/>
    <mergeCell ref="B22:D22"/>
    <mergeCell ref="E23:G23"/>
    <mergeCell ref="B44:E44"/>
    <mergeCell ref="B12:D12"/>
    <mergeCell ref="H12:J12"/>
    <mergeCell ref="I22:J22"/>
    <mergeCell ref="B15:D15"/>
    <mergeCell ref="B46:E46"/>
    <mergeCell ref="B24:D24"/>
    <mergeCell ref="E25:G25"/>
    <mergeCell ref="L51:M51"/>
    <mergeCell ref="K6:M6"/>
    <mergeCell ref="B48:E48"/>
    <mergeCell ref="L41:M41"/>
    <mergeCell ref="B7:D7"/>
    <mergeCell ref="B16:D16"/>
    <mergeCell ref="L34:M34"/>
    <mergeCell ref="B36:C36"/>
    <mergeCell ref="L49:M49"/>
    <mergeCell ref="L36:M36"/>
  </mergeCells>
  <conditionalFormatting sqref="H16">
    <cfRule type="cellIs" priority="1" operator="lessThan" dxfId="0">
      <formula>0</formula>
    </cfRule>
  </conditionalFormatting>
  <conditionalFormatting sqref="E7">
    <cfRule type="cellIs" priority="2" operator="lessThan" dxfId="0">
      <formula>0</formula>
    </cfRule>
  </conditionalFormatting>
  <conditionalFormatting sqref="E20">
    <cfRule type="cellIs" priority="3" operator="equal" dxfId="1">
      <formula>"✔ CUADRA"</formula>
    </cfRule>
    <cfRule type="cellIs" priority="4" operator="notEqual" dxfId="2">
      <formula>"✔ CUADRA"</formula>
    </cfRule>
  </conditionalFormatting>
  <conditionalFormatting sqref="E21">
    <cfRule type="expression" priority="5" dxfId="3">
      <formula>LEFT(E21,1)&lt;&gt;"0"</formula>
    </cfRule>
  </conditionalFormatting>
  <conditionalFormatting sqref="M20:M23">
    <cfRule type="dataBar" priority="6">
      <dataBar>
        <cfvo type="num" val="0"/>
        <cfvo type="num" val="1"/>
        <color rgb="000E9F8A"/>
      </dataBar>
    </cfRule>
  </conditionalFormatting>
  <conditionalFormatting sqref="L29:L36">
    <cfRule type="cellIs" priority="7" operator="equal" dxfId="4">
      <formula>"OK"</formula>
    </cfRule>
    <cfRule type="cellIs" priority="8" operator="equal" dxfId="5">
      <formula>"REORDENAR"</formula>
    </cfRule>
    <cfRule type="cellIs" priority="9" operator="equal" dxfId="6">
      <formula>"AGOTADO"</formula>
    </cfRule>
  </conditionalFormatting>
  <conditionalFormatting sqref="F29:F36">
    <cfRule type="cellIs" priority="10" operator="equal" dxfId="7">
      <formula>"Definir"</formula>
    </cfRule>
  </conditionalFormatting>
  <conditionalFormatting sqref="I29:I36">
    <cfRule type="dataBar" priority="11">
      <dataBar>
        <cfvo type="num" val="0"/>
        <cfvo type="max"/>
        <color rgb="008E44AD"/>
      </dataBar>
    </cfRule>
  </conditionalFormatting>
  <conditionalFormatting sqref="F41:F50">
    <cfRule type="dataBar" priority="12">
      <dataBar>
        <cfvo type="num" val="0"/>
        <cfvo type="max"/>
        <color rgb="00C0392B"/>
      </dataBar>
    </cfRule>
  </conditionalFormatting>
  <printOptions horizontalCentered="1"/>
  <pageMargins left="0.4" right="0.4" top="1" bottom="1" header="0.5" footer="0.5"/>
  <pageSetup orientation="landscape" fitToHeight="0" fitToWidth="1"/>
  <headerFooter>
    <oddHeader/>
    <oddFooter>&amp;C&amp;8 COTIMIX · Sistema de control financiero ·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7F8C8D"/>
    <outlinePr summaryBelow="1" summaryRight="1"/>
    <pageSetUpPr fitToPage="1"/>
  </sheetPr>
  <dimension ref="A1:F30"/>
  <sheetViews>
    <sheetView showGridLines="0" zoomScale="9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92" customWidth="1" min="3" max="3"/>
  </cols>
  <sheetData>
    <row r="1" ht="34" customHeight="1">
      <c r="A1" s="1" t="n"/>
      <c r="B1" s="2" t="inlineStr">
        <is>
          <t>COTIMIX · GUÍA DE USO DEL SISTEMA</t>
        </is>
      </c>
      <c r="C1" s="1" t="n"/>
      <c r="D1" s="1" t="n"/>
      <c r="E1" s="1" t="n"/>
      <c r="F1" s="1" t="n"/>
    </row>
    <row r="2" ht="20" customHeight="1">
      <c r="A2" s="1" t="n"/>
      <c r="B2" s="3" t="inlineStr">
        <is>
          <t>Cómo registrar la operación diaria y leer los reportes.</t>
        </is>
      </c>
      <c r="C2" s="1" t="n"/>
      <c r="D2" s="1" t="n"/>
      <c r="E2" s="1" t="n"/>
      <c r="F2" s="1" t="n"/>
    </row>
    <row r="3" ht="4" customHeight="1">
      <c r="A3" s="4" t="n"/>
      <c r="B3" s="4" t="n"/>
      <c r="C3" s="4" t="n"/>
      <c r="D3" s="4" t="n"/>
      <c r="E3" s="4" t="n"/>
      <c r="F3" s="4" t="n"/>
    </row>
    <row r="6" ht="20" customHeight="1">
      <c r="B6" s="44" t="inlineStr">
        <is>
          <t>CÓDIGO DE COLORES</t>
        </is>
      </c>
      <c r="C6" s="45" t="n"/>
    </row>
    <row r="7" ht="18" customHeight="1">
      <c r="B7" s="90" t="inlineStr">
        <is>
          <t>Celda amarilla, texto azul</t>
        </is>
      </c>
      <c r="C7" s="91" t="inlineStr">
        <is>
          <t>Dato que USTED captura o puede modificar (inputs).</t>
        </is>
      </c>
    </row>
    <row r="8" ht="18" customHeight="1">
      <c r="B8" s="92" t="inlineStr">
        <is>
          <t>Celda blanca, texto negro</t>
        </is>
      </c>
      <c r="C8" s="91" t="inlineStr">
        <is>
          <t>Fórmula automática. No la sobrescriba.</t>
        </is>
      </c>
    </row>
    <row r="9" ht="18" customHeight="1">
      <c r="B9" s="93" t="inlineStr">
        <is>
          <t>Texto verde</t>
        </is>
      </c>
      <c r="C9" s="91" t="inlineStr">
        <is>
          <t>Vínculo a otra hoja (por ejemplo, el capital en BANCO viene de CONFIG).</t>
        </is>
      </c>
    </row>
    <row r="10" ht="18" customHeight="1">
      <c r="B10" s="94" t="inlineStr">
        <is>
          <t>Rojo claro</t>
        </is>
      </c>
      <c r="C10" s="91" t="inlineStr">
        <is>
          <t>Alerta: dato pendiente (precio sin definir) o resultado negativo.</t>
        </is>
      </c>
    </row>
    <row r="12" ht="20" customHeight="1">
      <c r="B12" s="44" t="inlineStr">
        <is>
          <t>FLUJO DE TRABAJO</t>
        </is>
      </c>
      <c r="C12" s="45" t="n"/>
    </row>
    <row r="13" ht="18" customHeight="1">
      <c r="B13" s="92" t="inlineStr">
        <is>
          <t>1. CONFIG</t>
        </is>
      </c>
      <c r="C13" s="91" t="inlineStr">
        <is>
          <t>Revise parámetros: capital, reserva, recargo Citi (2.9%), comisión Walmart y margen objetivo.</t>
        </is>
      </c>
    </row>
    <row r="14" ht="30" customHeight="1">
      <c r="B14" s="92" t="inlineStr">
        <is>
          <t>2. INVENTARIO</t>
        </is>
      </c>
      <c r="C14" s="91" t="inlineStr">
        <is>
          <t>Defina el PRECIO DE VENTA de cada producto (columna N). Ajuste la comisión Walmart de su categoría y el costo de envío por unidad. Para un producto nuevo, agregue un ID (P003, P004...) en una fila vacía.</t>
        </is>
      </c>
    </row>
    <row r="15" ht="30" customHeight="1">
      <c r="B15" s="92" t="inlineStr">
        <is>
          <t>3. COMPRAS</t>
        </is>
      </c>
      <c r="C15" s="91" t="inlineStr">
        <is>
          <t>Registre cada compra de mercancía. Si elige 'Tarjeta Citi', el 2.9% se suma al costo real automáticamente y la deuda Citi aumenta. El costo unitario del inventario es el promedio ponderado del costo real.</t>
        </is>
      </c>
    </row>
    <row r="16" ht="30" customHeight="1">
      <c r="B16" s="92" t="inlineStr">
        <is>
          <t>4. VENTAS</t>
        </is>
      </c>
      <c r="C16" s="91" t="inlineStr">
        <is>
          <t>Una fila por orden/producto: fecha, # orden, ID y cantidad. El precio es opcional (si lo deja vacío usa el del catálogo).</t>
        </is>
      </c>
    </row>
    <row r="17" ht="30" customHeight="1">
      <c r="B17" s="92" t="inlineStr">
        <is>
          <t>5. GASTOS</t>
        </is>
      </c>
      <c r="C17" s="91" t="inlineStr">
        <is>
          <t>Publicidad, envíos, empaques, etc. Use 'Descontado por Walmart' para cargos que Walmart resta de la liquidación.</t>
        </is>
      </c>
    </row>
    <row r="18" ht="30" customHeight="1">
      <c r="B18" s="92" t="inlineStr">
        <is>
          <t>6. WALMART</t>
        </is>
      </c>
      <c r="C18" s="91" t="inlineStr">
        <is>
          <t>Registre los depósitos que Walmart envía a su banco y los movimientos de la reserva (retenciones y liberaciones).</t>
        </is>
      </c>
    </row>
    <row r="19" ht="30" customHeight="1">
      <c r="B19" s="92" t="inlineStr">
        <is>
          <t>7. BANCO</t>
        </is>
      </c>
      <c r="C19" s="91" t="inlineStr">
        <is>
          <t>Registre aportes adicionales, retiros del propietario, pagos a la tarjeta Citi y otros ingresos.</t>
        </is>
      </c>
    </row>
    <row r="20" ht="30" customHeight="1">
      <c r="B20" s="92" t="inlineStr">
        <is>
          <t>8. Reportes</t>
        </is>
      </c>
      <c r="C20" s="91" t="inlineStr">
        <is>
          <t>DASHBOARD, ESTADO_RESULTADOS y BALANCE se actualizan solos. Verifique que el BALANCE diga '✔ CUADRA'.</t>
        </is>
      </c>
    </row>
    <row r="22" ht="20" customHeight="1">
      <c r="B22" s="44" t="inlineStr">
        <is>
          <t>EJEMPLO DE CAPTURA (VENTAS)</t>
        </is>
      </c>
      <c r="C22" s="45" t="n"/>
    </row>
    <row r="23" ht="30" customHeight="1">
      <c r="B23" s="92" t="inlineStr">
        <is>
          <t>Formato de una fila</t>
        </is>
      </c>
      <c r="C23" s="91" t="inlineStr">
        <is>
          <t>Fecha: 05/11/2026 · # Orden: 1089456123 · ID: P002 · Cantidad: 2 · Precio unitario: 79.99 · Envío/otros cargos: 0  →  Venta bruta $159.98, comisión 15% $24.00, costo real $86.44, utilidad $49.54.</t>
        </is>
      </c>
    </row>
    <row r="25" ht="20" customHeight="1">
      <c r="B25" s="44" t="inlineStr">
        <is>
          <t>SUPUESTOS DOCUMENTADOS</t>
        </is>
      </c>
      <c r="C25" s="45" t="n"/>
    </row>
    <row r="26" ht="30" customHeight="1">
      <c r="B26" s="92" t="inlineStr">
        <is>
          <t>Reserva Walmart</t>
        </is>
      </c>
      <c r="C26" s="91" t="inlineStr">
        <is>
          <t>$1,190.60 es dinero de COTIMIX retenido por Walmart: se muestra como activo RESTRINGIDO, separado del efectivo.</t>
        </is>
      </c>
    </row>
    <row r="27" ht="30" customHeight="1">
      <c r="B27" s="92" t="inlineStr">
        <is>
          <t>Origen de la reserva</t>
        </is>
      </c>
      <c r="C27" s="91" t="inlineStr">
        <is>
          <t>Se asume que proviene de ventas previas a la apertura → 'Resultados acumulados de apertura' en el patrimonio. Editable en CONFIG.</t>
        </is>
      </c>
    </row>
    <row r="28" ht="30" customHeight="1">
      <c r="B28" s="92" t="inlineStr">
        <is>
          <t>Deuda Citi</t>
        </is>
      </c>
      <c r="C28" s="91" t="inlineStr">
        <is>
          <t>Se asume que la compra de mouse ($1,728.72) aún no se ha pagado: aparece como pasivo hasta registrar el pago en BANCO.</t>
        </is>
      </c>
    </row>
    <row r="29" ht="18" customHeight="1">
      <c r="B29" s="92" t="inlineStr">
        <is>
          <t>Efectivo inicial</t>
        </is>
      </c>
      <c r="C29" s="91" t="inlineStr">
        <is>
          <t>Capital $5,000 − cafeteras pagadas en efectivo $2,070 = $2,930 disponibles a la apertura.</t>
        </is>
      </c>
    </row>
    <row r="30" ht="18" customHeight="1">
      <c r="B30" s="92" t="inlineStr">
        <is>
          <t>Comisión Walmart</t>
        </is>
      </c>
      <c r="C30" s="91" t="inlineStr">
        <is>
          <t>15% por defecto (tarifa referencial estándar). Verifique la de cada categoría en Seller Center.</t>
        </is>
      </c>
    </row>
  </sheetData>
  <printOptions horizontalCentered="1"/>
  <pageMargins left="0.4" right="0.4" top="1" bottom="1" header="0.5" footer="0.5"/>
  <pageSetup orientation="landscape" fitToHeight="0" fitToWidth="1"/>
  <headerFooter>
    <oddHeader/>
    <oddFooter>&amp;C&amp;8 COTIMIX · Sistema de control financiero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7F8C8D"/>
    <outlinePr summaryBelow="1" summaryRight="1"/>
    <pageSetUpPr fitToPage="1"/>
  </sheetPr>
  <dimension ref="A1:L17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40" customWidth="1" min="2" max="2"/>
    <col width="22" customWidth="1" min="3" max="3"/>
    <col width="52" customWidth="1" min="4" max="4"/>
    <col width="3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 ht="34" customHeight="1">
      <c r="A1" s="1" t="n"/>
      <c r="B1" s="2" t="inlineStr">
        <is>
          <t>COTIMIX · PARÁMETROS DEL SISTEMA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1" t="n"/>
      <c r="B2" s="3" t="inlineStr">
        <is>
          <t>Supuestos generales y listas maestras. Celdas amarillas = editables.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5" ht="20" customHeight="1">
      <c r="B5" s="44" t="inlineStr">
        <is>
          <t>PARÁMETROS GENERALES</t>
        </is>
      </c>
      <c r="C5" s="45" t="n"/>
      <c r="D5" s="45" t="n"/>
      <c r="F5" s="44" t="inlineStr">
        <is>
          <t>LISTAS MAESTRAS (alimentan los menús desplegables)</t>
        </is>
      </c>
      <c r="G5" s="45" t="n"/>
      <c r="H5" s="45" t="n"/>
      <c r="I5" s="45" t="n"/>
      <c r="J5" s="45" t="n"/>
    </row>
    <row r="6" ht="32" customHeight="1">
      <c r="B6" s="95" t="inlineStr">
        <is>
          <t>Parámetro</t>
        </is>
      </c>
      <c r="C6" s="95" t="inlineStr">
        <is>
          <t>Valor</t>
        </is>
      </c>
      <c r="D6" s="95" t="inlineStr">
        <is>
          <t>Nota / Fuente</t>
        </is>
      </c>
      <c r="F6" s="95" t="inlineStr">
        <is>
          <t>Métodos de pago · Compras</t>
        </is>
      </c>
      <c r="G6" s="95" t="inlineStr">
        <is>
          <t>Métodos de pago · Gastos</t>
        </is>
      </c>
      <c r="H6" s="95" t="inlineStr">
        <is>
          <t>Categorías de gasto</t>
        </is>
      </c>
      <c r="I6" s="95" t="inlineStr">
        <is>
          <t>Tipos de movimiento · Walmart</t>
        </is>
      </c>
      <c r="J6" s="95" t="inlineStr">
        <is>
          <t>Tipos de movimiento · Banco</t>
        </is>
      </c>
    </row>
    <row r="7" ht="30" customHeight="1">
      <c r="B7" s="96" t="inlineStr">
        <is>
          <t>Nombre del negocio</t>
        </is>
      </c>
      <c r="C7" s="97" t="inlineStr">
        <is>
          <t>COTIMIX</t>
        </is>
      </c>
      <c r="D7" s="98" t="inlineStr">
        <is>
          <t>Dato del propietario.</t>
        </is>
      </c>
      <c r="F7" s="99" t="inlineStr">
        <is>
          <t>Efectivo/Banco</t>
        </is>
      </c>
      <c r="G7" s="99" t="inlineStr">
        <is>
          <t>Efectivo/Banco</t>
        </is>
      </c>
      <c r="H7" s="99" t="inlineStr">
        <is>
          <t>Publicidad (Walmart Sponsored)</t>
        </is>
      </c>
      <c r="I7" s="99" t="inlineStr">
        <is>
          <t>Retención a reserva</t>
        </is>
      </c>
      <c r="J7" s="99" t="inlineStr">
        <is>
          <t>Aporte de capital</t>
        </is>
      </c>
    </row>
    <row r="8" ht="30" customHeight="1">
      <c r="B8" s="96" t="inlineStr">
        <is>
          <t>Canal de venta</t>
        </is>
      </c>
      <c r="C8" s="100" t="inlineStr">
        <is>
          <t>Walmart Marketplace</t>
        </is>
      </c>
      <c r="D8" s="98" t="inlineStr">
        <is>
          <t>Dato del propietario.</t>
        </is>
      </c>
      <c r="F8" s="99" t="inlineStr">
        <is>
          <t>Tarjeta Citi</t>
        </is>
      </c>
      <c r="G8" s="99" t="inlineStr">
        <is>
          <t>Tarjeta Citi</t>
        </is>
      </c>
      <c r="H8" s="99" t="inlineStr">
        <is>
          <t>Envíos y logística</t>
        </is>
      </c>
      <c r="I8" s="99" t="inlineStr">
        <is>
          <t>Liberación de reserva</t>
        </is>
      </c>
      <c r="J8" s="99" t="inlineStr">
        <is>
          <t>Retiro del propietario</t>
        </is>
      </c>
    </row>
    <row r="9" ht="30" customHeight="1">
      <c r="B9" s="96" t="inlineStr">
        <is>
          <t>Moneda</t>
        </is>
      </c>
      <c r="C9" s="100" t="inlineStr">
        <is>
          <t>USD</t>
        </is>
      </c>
      <c r="D9" s="98" t="inlineStr">
        <is>
          <t>Todas las cifras en dólares estadounidenses.</t>
        </is>
      </c>
      <c r="G9" s="99" t="inlineStr">
        <is>
          <t>Descontado por Walmart</t>
        </is>
      </c>
      <c r="H9" s="99" t="inlineStr">
        <is>
          <t>Fulfillment / WFS</t>
        </is>
      </c>
      <c r="I9" s="99" t="inlineStr">
        <is>
          <t>Depósito a banco</t>
        </is>
      </c>
      <c r="J9" s="99" t="inlineStr">
        <is>
          <t>Pago tarjeta Citi</t>
        </is>
      </c>
    </row>
    <row r="10" ht="30" customHeight="1">
      <c r="B10" s="96" t="inlineStr">
        <is>
          <t>Fecha de apertura del sistema</t>
        </is>
      </c>
      <c r="C10" s="101" t="n">
        <v>46323</v>
      </c>
      <c r="D10" s="98" t="inlineStr">
        <is>
          <t>Fecha de corte de los saldos iniciales.</t>
        </is>
      </c>
      <c r="H10" s="99" t="inlineStr">
        <is>
          <t>Empaque y suministros</t>
        </is>
      </c>
      <c r="J10" s="99" t="inlineStr">
        <is>
          <t>Otro ingreso</t>
        </is>
      </c>
    </row>
    <row r="11" ht="30" customHeight="1">
      <c r="B11" s="96" t="inlineStr">
        <is>
          <t>Año del Estado de Resultados</t>
        </is>
      </c>
      <c r="C11" s="102" t="n">
        <v>2026</v>
      </c>
      <c r="D11" s="98" t="inlineStr">
        <is>
          <t>Cambie el año para ver otro ejercicio en ESTADO_RESULTADOS.</t>
        </is>
      </c>
      <c r="H11" s="99" t="inlineStr">
        <is>
          <t>Devoluciones y reembolsos</t>
        </is>
      </c>
    </row>
    <row r="12" ht="30" customHeight="1">
      <c r="B12" s="96" t="inlineStr">
        <is>
          <t>Capital inicial invertido</t>
        </is>
      </c>
      <c r="C12" s="103" t="n">
        <v>5000</v>
      </c>
      <c r="D12" s="98" t="inlineStr">
        <is>
          <t>Dato del propietario. Se registra automáticamente en BANCO como aporte.</t>
        </is>
      </c>
      <c r="H12" s="99" t="inlineStr">
        <is>
          <t>Software y suscripciones</t>
        </is>
      </c>
    </row>
    <row r="13" ht="30" customHeight="1">
      <c r="B13" s="96" t="inlineStr">
        <is>
          <t>Reserva Walmart al inicio</t>
        </is>
      </c>
      <c r="C13" s="103" t="n">
        <v>1190.6</v>
      </c>
      <c r="D13" s="98" t="inlineStr">
        <is>
          <t>Dato del propietario: dinero de COTIMIX retenido por Walmart, aún no disponible.</t>
        </is>
      </c>
      <c r="H13" s="99" t="inlineStr">
        <is>
          <t>Comisiones bancarias</t>
        </is>
      </c>
    </row>
    <row r="14" ht="54" customHeight="1">
      <c r="B14" s="96" t="inlineStr">
        <is>
          <t>Resultados acumulados de apertura</t>
        </is>
      </c>
      <c r="C14" s="103" t="n">
        <v>1190.6</v>
      </c>
      <c r="D14" s="98" t="inlineStr">
        <is>
          <t>SUPUESTO: la reserva de Walmart proviene de ventas anteriores a la apertura del sistema, por lo que se reconoce como utilidad acumulada. Si tuvo otro origen, ajuste este valor; el control de cuadre del BALANCE le indicará cualquier diferencia.</t>
        </is>
      </c>
      <c r="H14" s="99" t="inlineStr">
        <is>
          <t>Servicios profesionales</t>
        </is>
      </c>
    </row>
    <row r="15" ht="30" customHeight="1">
      <c r="B15" s="96" t="inlineStr">
        <is>
          <t>Recargo por pago con tarjeta Citi</t>
        </is>
      </c>
      <c r="C15" s="104" t="n">
        <v>0.029</v>
      </c>
      <c r="D15" s="98" t="inlineStr">
        <is>
          <t>Dato del propietario: 2.9% que se suma al costo de toda compra o gasto pagado con Citi.</t>
        </is>
      </c>
      <c r="H15" s="99" t="inlineStr">
        <is>
          <t>Impuestos y licencias</t>
        </is>
      </c>
    </row>
    <row r="16" ht="54" customHeight="1">
      <c r="B16" s="96" t="inlineStr">
        <is>
          <t>Comisión Walmart por defecto (referral fee)</t>
        </is>
      </c>
      <c r="C16" s="104" t="n">
        <v>0.15</v>
      </c>
      <c r="D16" s="98" t="inlineStr">
        <is>
          <t>SUPUESTO: 15% es la tarifa estándar de Walmart Marketplace para la mayoría de categorías. Verifique la tarifa de cada categoría en Seller Center y ajústela por producto en INVENTARIO.</t>
        </is>
      </c>
      <c r="H16" s="99" t="inlineStr">
        <is>
          <t>Otros gastos</t>
        </is>
      </c>
    </row>
    <row r="17" ht="30" customHeight="1">
      <c r="B17" s="96" t="inlineStr">
        <is>
          <t>Margen neto objetivo por producto</t>
        </is>
      </c>
      <c r="C17" s="104" t="n">
        <v>0.25</v>
      </c>
      <c r="D17" s="98" t="inlineStr">
        <is>
          <t>Se usa para calcular el precio sugerido en INVENTARIO.</t>
        </is>
      </c>
    </row>
  </sheetData>
  <printOptions horizontalCentered="1"/>
  <pageMargins left="0.4" right="0.4" top="1" bottom="1" header="0.5" footer="0.5"/>
  <pageSetup orientation="landscape" fitToHeight="0" fitToWidth="1"/>
  <headerFooter>
    <oddHeader/>
    <oddFooter>&amp;C&amp;8 COTIMIX · Sistema de control financiero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E9F8A"/>
    <outlinePr summaryBelow="1" summaryRight="1"/>
    <pageSetUpPr fitToPage="1"/>
  </sheetPr>
  <dimension ref="A1:X29"/>
  <sheetViews>
    <sheetView showGridLines="0" zoomScale="9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22" customWidth="1" min="3" max="3"/>
    <col width="16" customWidth="1" min="4" max="4"/>
    <col width="14" customWidth="1" min="5" max="5"/>
    <col width="11" customWidth="1" min="6" max="6"/>
    <col width="11" customWidth="1" min="7" max="7"/>
    <col width="11" customWidth="1" min="8" max="8"/>
    <col width="10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1" customWidth="1" min="15" max="15"/>
    <col width="12" customWidth="1" min="16" max="16"/>
    <col width="12" customWidth="1" min="17" max="17"/>
    <col width="13" customWidth="1" min="18" max="18"/>
    <col width="10" customWidth="1" min="19" max="19"/>
    <col width="10" customWidth="1" min="20" max="20"/>
    <col width="12" customWidth="1" min="21" max="21"/>
    <col width="12" customWidth="1" min="22" max="22"/>
    <col width="14" customWidth="1" min="23" max="23"/>
  </cols>
  <sheetData>
    <row r="1" ht="34" customHeight="1">
      <c r="A1" s="1" t="n"/>
      <c r="B1" s="2" t="inlineStr">
        <is>
          <t>COTIMIX · INVENTARIO Y RENTABILIDAD POR PRODUCTO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0" customHeight="1">
      <c r="A2" s="1" t="n"/>
      <c r="B2" s="3" t="inlineStr">
        <is>
          <t>Stock y costo real se calculan desde COMPRAS y VENTAS. Capture el precio de venta en la columna amarilla.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5" ht="20" customHeight="1">
      <c r="B5" s="5" t="inlineStr">
        <is>
          <t>CATÁLOGO Y EXISTENCIAS</t>
        </is>
      </c>
      <c r="C5" s="6" t="n"/>
      <c r="D5" s="6" t="n"/>
      <c r="E5" s="6" t="n"/>
      <c r="F5" s="6" t="n"/>
      <c r="G5" s="6" t="n"/>
      <c r="H5" s="6" t="n"/>
      <c r="I5" s="6" t="n"/>
      <c r="J5" s="44" t="inlineStr">
        <is>
          <t>COSTO REAL (incluye recargo Citi)</t>
        </is>
      </c>
      <c r="K5" s="45" t="n"/>
      <c r="L5" s="45" t="n"/>
      <c r="M5" s="45" t="n"/>
      <c r="N5" s="105" t="inlineStr">
        <is>
          <t>PRECIO Y RENTABILIDAD UNITARIA</t>
        </is>
      </c>
      <c r="O5" s="106" t="n"/>
      <c r="P5" s="106" t="n"/>
      <c r="Q5" s="106" t="n"/>
      <c r="R5" s="106" t="n"/>
      <c r="S5" s="106" t="n"/>
      <c r="T5" s="106" t="n"/>
      <c r="U5" s="106" t="n"/>
      <c r="V5" s="106" t="n"/>
      <c r="W5" s="106" t="n"/>
      <c r="X5" s="106" t="n"/>
    </row>
    <row r="6" ht="48" customHeight="1">
      <c r="B6" s="95" t="inlineStr">
        <is>
          <t>ID</t>
        </is>
      </c>
      <c r="C6" s="95" t="inlineStr">
        <is>
          <t>Producto</t>
        </is>
      </c>
      <c r="D6" s="95" t="inlineStr">
        <is>
          <t>Categoría</t>
        </is>
      </c>
      <c r="E6" s="95" t="inlineStr">
        <is>
          <t>SKU Walmart</t>
        </is>
      </c>
      <c r="F6" s="95" t="inlineStr">
        <is>
          <t>Unidades
compradas</t>
        </is>
      </c>
      <c r="G6" s="95" t="inlineStr">
        <is>
          <t>Unidades
vendidas</t>
        </is>
      </c>
      <c r="H6" s="95" t="inlineStr">
        <is>
          <t>STOCK
ACTUAL</t>
        </is>
      </c>
      <c r="I6" s="95" t="inlineStr">
        <is>
          <t>Stock
mínimo</t>
        </is>
      </c>
      <c r="J6" s="95" t="inlineStr">
        <is>
          <t>Estado</t>
        </is>
      </c>
      <c r="K6" s="95" t="inlineStr">
        <is>
          <t>Costo real
total</t>
        </is>
      </c>
      <c r="L6" s="95" t="inlineStr">
        <is>
          <t>Costo real
unitario</t>
        </is>
      </c>
      <c r="M6" s="95" t="inlineStr">
        <is>
          <t>VALOR
INVENTARIO</t>
        </is>
      </c>
      <c r="N6" s="95" t="inlineStr">
        <is>
          <t>PRECIO DE
VENTA</t>
        </is>
      </c>
      <c r="O6" s="95" t="inlineStr">
        <is>
          <t>Comisión
Walmart %</t>
        </is>
      </c>
      <c r="P6" s="95" t="inlineStr">
        <is>
          <t>Comisión
Walmart $</t>
        </is>
      </c>
      <c r="Q6" s="95" t="inlineStr">
        <is>
          <t>Envío /
fulfillment
por unidad</t>
        </is>
      </c>
      <c r="R6" s="95" t="inlineStr">
        <is>
          <t>UTILIDAD
POR UNIDAD</t>
        </is>
      </c>
      <c r="S6" s="95" t="inlineStr">
        <is>
          <t>Margen
neto %</t>
        </is>
      </c>
      <c r="T6" s="95" t="inlineStr">
        <is>
          <t>ROI por
unidad %</t>
        </is>
      </c>
      <c r="U6" s="95" t="inlineStr">
        <is>
          <t>Precio
mínimo
(break-even)</t>
        </is>
      </c>
      <c r="V6" s="95" t="inlineStr">
        <is>
          <t>Precio
sugerido
(margen obj.)</t>
        </is>
      </c>
      <c r="W6" s="95" t="inlineStr">
        <is>
          <t>Utilidad
potencial
del stock</t>
        </is>
      </c>
    </row>
    <row r="7">
      <c r="B7" s="100" t="inlineStr">
        <is>
          <t>P001</t>
        </is>
      </c>
      <c r="C7" s="107" t="inlineStr">
        <is>
          <t>Cafeteras</t>
        </is>
      </c>
      <c r="D7" s="107" t="inlineStr">
        <is>
          <t>Hogar / Cocina</t>
        </is>
      </c>
      <c r="E7" s="107" t="n"/>
      <c r="F7" s="108">
        <f>IF($B7="","",SUMIFS(COMPRAS!$F$6:$F$305,COMPRAS!$C$6:$C$305,$B7))</f>
        <v/>
      </c>
      <c r="G7" s="108">
        <f>IF($B7="","",SUMIFS(VENTAS!$F$6:$F$505,VENTAS!$D$6:$D$505,$B7))</f>
        <v/>
      </c>
      <c r="H7" s="109">
        <f>IF($B7="","",F7-G7)</f>
        <v/>
      </c>
      <c r="I7" s="110" t="n">
        <v>5</v>
      </c>
      <c r="J7" s="111">
        <f>IF($B7="","",IF(H7&lt;=0,"AGOTADO",IF(H7&lt;=N(I7),"REORDENAR","OK")))</f>
        <v/>
      </c>
      <c r="K7" s="112">
        <f>IF($B7="","",SUMIFS(COMPRAS!$L$6:$L$305,COMPRAS!$C$6:$C$305,$B7))</f>
        <v/>
      </c>
      <c r="L7" s="113">
        <f>IF($B7="","",IF(F7&gt;0,K7/F7,0))</f>
        <v/>
      </c>
      <c r="M7" s="114">
        <f>IF($B7="","",H7*L7)</f>
        <v/>
      </c>
      <c r="N7" s="103" t="n"/>
      <c r="O7" s="104" t="n">
        <v>0.15</v>
      </c>
      <c r="P7" s="112">
        <f>IF(OR($B7="",$N7=""),"",N7*O7)</f>
        <v/>
      </c>
      <c r="Q7" s="103" t="n">
        <v>0</v>
      </c>
      <c r="R7" s="114">
        <f>IF(OR($B7="",$N7=""),"",N7-P7-Q7-L7)</f>
        <v/>
      </c>
      <c r="S7" s="115">
        <f>IF(OR($B7="",$N7=""),"",IF(N7&gt;0,R7/N7,0))</f>
        <v/>
      </c>
      <c r="T7" s="115">
        <f>IF(OR($B7="",$N7=""),"",IF(L7&gt;0,R7/L7,0))</f>
        <v/>
      </c>
      <c r="U7" s="112">
        <f>IF($B7="","",IF(O7&lt;1,(L7+Q7)/(1-O7),0))</f>
        <v/>
      </c>
      <c r="V7" s="112">
        <f>IF($B7="","",IF(O7+CFG_MARGEN&lt;1,(L7+Q7)/(1-O7-CFG_MARGEN),0))</f>
        <v/>
      </c>
      <c r="W7" s="112">
        <f>IF(OR($B7="",$N7=""),"",R7*H7)</f>
        <v/>
      </c>
    </row>
    <row r="8">
      <c r="B8" s="100" t="inlineStr">
        <is>
          <t>P002</t>
        </is>
      </c>
      <c r="C8" s="107" t="inlineStr">
        <is>
          <t>Mouse Logitech</t>
        </is>
      </c>
      <c r="D8" s="107" t="inlineStr">
        <is>
          <t>Electrónica</t>
        </is>
      </c>
      <c r="E8" s="107" t="n"/>
      <c r="F8" s="116">
        <f>IF($B8="","",SUMIFS(COMPRAS!$F$6:$F$305,COMPRAS!$C$6:$C$305,$B8))</f>
        <v/>
      </c>
      <c r="G8" s="116">
        <f>IF($B8="","",SUMIFS(VENTAS!$F$6:$F$505,VENTAS!$D$6:$D$505,$B8))</f>
        <v/>
      </c>
      <c r="H8" s="117">
        <f>IF($B8="","",F8-G8)</f>
        <v/>
      </c>
      <c r="I8" s="110" t="n">
        <v>8</v>
      </c>
      <c r="J8" s="111">
        <f>IF($B8="","",IF(H8&lt;=0,"AGOTADO",IF(H8&lt;=N(I8),"REORDENAR","OK")))</f>
        <v/>
      </c>
      <c r="K8" s="118">
        <f>IF($B8="","",SUMIFS(COMPRAS!$L$6:$L$305,COMPRAS!$C$6:$C$305,$B8))</f>
        <v/>
      </c>
      <c r="L8" s="119">
        <f>IF($B8="","",IF(F8&gt;0,K8/F8,0))</f>
        <v/>
      </c>
      <c r="M8" s="120">
        <f>IF($B8="","",H8*L8)</f>
        <v/>
      </c>
      <c r="N8" s="103" t="n"/>
      <c r="O8" s="104" t="n">
        <v>0.15</v>
      </c>
      <c r="P8" s="118">
        <f>IF(OR($B8="",$N8=""),"",N8*O8)</f>
        <v/>
      </c>
      <c r="Q8" s="103" t="n">
        <v>0</v>
      </c>
      <c r="R8" s="120">
        <f>IF(OR($B8="",$N8=""),"",N8-P8-Q8-L8)</f>
        <v/>
      </c>
      <c r="S8" s="121">
        <f>IF(OR($B8="",$N8=""),"",IF(N8&gt;0,R8/N8,0))</f>
        <v/>
      </c>
      <c r="T8" s="121">
        <f>IF(OR($B8="",$N8=""),"",IF(L8&gt;0,R8/L8,0))</f>
        <v/>
      </c>
      <c r="U8" s="118">
        <f>IF($B8="","",IF(O8&lt;1,(L8+Q8)/(1-O8),0))</f>
        <v/>
      </c>
      <c r="V8" s="118">
        <f>IF($B8="","",IF(O8+CFG_MARGEN&lt;1,(L8+Q8)/(1-O8-CFG_MARGEN),0))</f>
        <v/>
      </c>
      <c r="W8" s="118">
        <f>IF(OR($B8="",$N8=""),"",R8*H8)</f>
        <v/>
      </c>
    </row>
    <row r="9">
      <c r="B9" s="100" t="n"/>
      <c r="C9" s="107" t="n"/>
      <c r="D9" s="107" t="n"/>
      <c r="E9" s="107" t="n"/>
      <c r="F9" s="108">
        <f>IF($B9="","",SUMIFS(COMPRAS!$F$6:$F$305,COMPRAS!$C$6:$C$305,$B9))</f>
        <v/>
      </c>
      <c r="G9" s="108">
        <f>IF($B9="","",SUMIFS(VENTAS!$F$6:$F$505,VENTAS!$D$6:$D$505,$B9))</f>
        <v/>
      </c>
      <c r="H9" s="109">
        <f>IF($B9="","",F9-G9)</f>
        <v/>
      </c>
      <c r="I9" s="110" t="n"/>
      <c r="J9" s="111">
        <f>IF($B9="","",IF(H9&lt;=0,"AGOTADO",IF(H9&lt;=N(I9),"REORDENAR","OK")))</f>
        <v/>
      </c>
      <c r="K9" s="112">
        <f>IF($B9="","",SUMIFS(COMPRAS!$L$6:$L$305,COMPRAS!$C$6:$C$305,$B9))</f>
        <v/>
      </c>
      <c r="L9" s="113">
        <f>IF($B9="","",IF(F9&gt;0,K9/F9,0))</f>
        <v/>
      </c>
      <c r="M9" s="114">
        <f>IF($B9="","",H9*L9)</f>
        <v/>
      </c>
      <c r="N9" s="103" t="n"/>
      <c r="O9" s="104" t="n"/>
      <c r="P9" s="112">
        <f>IF(OR($B9="",$N9=""),"",N9*O9)</f>
        <v/>
      </c>
      <c r="Q9" s="103" t="n"/>
      <c r="R9" s="114">
        <f>IF(OR($B9="",$N9=""),"",N9-P9-Q9-L9)</f>
        <v/>
      </c>
      <c r="S9" s="115">
        <f>IF(OR($B9="",$N9=""),"",IF(N9&gt;0,R9/N9,0))</f>
        <v/>
      </c>
      <c r="T9" s="115">
        <f>IF(OR($B9="",$N9=""),"",IF(L9&gt;0,R9/L9,0))</f>
        <v/>
      </c>
      <c r="U9" s="112">
        <f>IF($B9="","",IF(O9&lt;1,(L9+Q9)/(1-O9),0))</f>
        <v/>
      </c>
      <c r="V9" s="112">
        <f>IF($B9="","",IF(O9+CFG_MARGEN&lt;1,(L9+Q9)/(1-O9-CFG_MARGEN),0))</f>
        <v/>
      </c>
      <c r="W9" s="112">
        <f>IF(OR($B9="",$N9=""),"",R9*H9)</f>
        <v/>
      </c>
    </row>
    <row r="10">
      <c r="B10" s="100" t="n"/>
      <c r="C10" s="107" t="n"/>
      <c r="D10" s="107" t="n"/>
      <c r="E10" s="107" t="n"/>
      <c r="F10" s="116">
        <f>IF($B10="","",SUMIFS(COMPRAS!$F$6:$F$305,COMPRAS!$C$6:$C$305,$B10))</f>
        <v/>
      </c>
      <c r="G10" s="116">
        <f>IF($B10="","",SUMIFS(VENTAS!$F$6:$F$505,VENTAS!$D$6:$D$505,$B10))</f>
        <v/>
      </c>
      <c r="H10" s="117">
        <f>IF($B10="","",F10-G10)</f>
        <v/>
      </c>
      <c r="I10" s="110" t="n"/>
      <c r="J10" s="111">
        <f>IF($B10="","",IF(H10&lt;=0,"AGOTADO",IF(H10&lt;=N(I10),"REORDENAR","OK")))</f>
        <v/>
      </c>
      <c r="K10" s="118">
        <f>IF($B10="","",SUMIFS(COMPRAS!$L$6:$L$305,COMPRAS!$C$6:$C$305,$B10))</f>
        <v/>
      </c>
      <c r="L10" s="119">
        <f>IF($B10="","",IF(F10&gt;0,K10/F10,0))</f>
        <v/>
      </c>
      <c r="M10" s="120">
        <f>IF($B10="","",H10*L10)</f>
        <v/>
      </c>
      <c r="N10" s="103" t="n"/>
      <c r="O10" s="104" t="n"/>
      <c r="P10" s="118">
        <f>IF(OR($B10="",$N10=""),"",N10*O10)</f>
        <v/>
      </c>
      <c r="Q10" s="103" t="n"/>
      <c r="R10" s="120">
        <f>IF(OR($B10="",$N10=""),"",N10-P10-Q10-L10)</f>
        <v/>
      </c>
      <c r="S10" s="121">
        <f>IF(OR($B10="",$N10=""),"",IF(N10&gt;0,R10/N10,0))</f>
        <v/>
      </c>
      <c r="T10" s="121">
        <f>IF(OR($B10="",$N10=""),"",IF(L10&gt;0,R10/L10,0))</f>
        <v/>
      </c>
      <c r="U10" s="118">
        <f>IF($B10="","",IF(O10&lt;1,(L10+Q10)/(1-O10),0))</f>
        <v/>
      </c>
      <c r="V10" s="118">
        <f>IF($B10="","",IF(O10+CFG_MARGEN&lt;1,(L10+Q10)/(1-O10-CFG_MARGEN),0))</f>
        <v/>
      </c>
      <c r="W10" s="118">
        <f>IF(OR($B10="",$N10=""),"",R10*H10)</f>
        <v/>
      </c>
    </row>
    <row r="11">
      <c r="B11" s="100" t="n"/>
      <c r="C11" s="107" t="n"/>
      <c r="D11" s="107" t="n"/>
      <c r="E11" s="107" t="n"/>
      <c r="F11" s="108">
        <f>IF($B11="","",SUMIFS(COMPRAS!$F$6:$F$305,COMPRAS!$C$6:$C$305,$B11))</f>
        <v/>
      </c>
      <c r="G11" s="108">
        <f>IF($B11="","",SUMIFS(VENTAS!$F$6:$F$505,VENTAS!$D$6:$D$505,$B11))</f>
        <v/>
      </c>
      <c r="H11" s="109">
        <f>IF($B11="","",F11-G11)</f>
        <v/>
      </c>
      <c r="I11" s="110" t="n"/>
      <c r="J11" s="111">
        <f>IF($B11="","",IF(H11&lt;=0,"AGOTADO",IF(H11&lt;=N(I11),"REORDENAR","OK")))</f>
        <v/>
      </c>
      <c r="K11" s="112">
        <f>IF($B11="","",SUMIFS(COMPRAS!$L$6:$L$305,COMPRAS!$C$6:$C$305,$B11))</f>
        <v/>
      </c>
      <c r="L11" s="113">
        <f>IF($B11="","",IF(F11&gt;0,K11/F11,0))</f>
        <v/>
      </c>
      <c r="M11" s="114">
        <f>IF($B11="","",H11*L11)</f>
        <v/>
      </c>
      <c r="N11" s="103" t="n"/>
      <c r="O11" s="104" t="n"/>
      <c r="P11" s="112">
        <f>IF(OR($B11="",$N11=""),"",N11*O11)</f>
        <v/>
      </c>
      <c r="Q11" s="103" t="n"/>
      <c r="R11" s="114">
        <f>IF(OR($B11="",$N11=""),"",N11-P11-Q11-L11)</f>
        <v/>
      </c>
      <c r="S11" s="115">
        <f>IF(OR($B11="",$N11=""),"",IF(N11&gt;0,R11/N11,0))</f>
        <v/>
      </c>
      <c r="T11" s="115">
        <f>IF(OR($B11="",$N11=""),"",IF(L11&gt;0,R11/L11,0))</f>
        <v/>
      </c>
      <c r="U11" s="112">
        <f>IF($B11="","",IF(O11&lt;1,(L11+Q11)/(1-O11),0))</f>
        <v/>
      </c>
      <c r="V11" s="112">
        <f>IF($B11="","",IF(O11+CFG_MARGEN&lt;1,(L11+Q11)/(1-O11-CFG_MARGEN),0))</f>
        <v/>
      </c>
      <c r="W11" s="112">
        <f>IF(OR($B11="",$N11=""),"",R11*H11)</f>
        <v/>
      </c>
    </row>
    <row r="12">
      <c r="B12" s="100" t="n"/>
      <c r="C12" s="107" t="n"/>
      <c r="D12" s="107" t="n"/>
      <c r="E12" s="107" t="n"/>
      <c r="F12" s="116">
        <f>IF($B12="","",SUMIFS(COMPRAS!$F$6:$F$305,COMPRAS!$C$6:$C$305,$B12))</f>
        <v/>
      </c>
      <c r="G12" s="116">
        <f>IF($B12="","",SUMIFS(VENTAS!$F$6:$F$505,VENTAS!$D$6:$D$505,$B12))</f>
        <v/>
      </c>
      <c r="H12" s="117">
        <f>IF($B12="","",F12-G12)</f>
        <v/>
      </c>
      <c r="I12" s="110" t="n"/>
      <c r="J12" s="111">
        <f>IF($B12="","",IF(H12&lt;=0,"AGOTADO",IF(H12&lt;=N(I12),"REORDENAR","OK")))</f>
        <v/>
      </c>
      <c r="K12" s="118">
        <f>IF($B12="","",SUMIFS(COMPRAS!$L$6:$L$305,COMPRAS!$C$6:$C$305,$B12))</f>
        <v/>
      </c>
      <c r="L12" s="119">
        <f>IF($B12="","",IF(F12&gt;0,K12/F12,0))</f>
        <v/>
      </c>
      <c r="M12" s="120">
        <f>IF($B12="","",H12*L12)</f>
        <v/>
      </c>
      <c r="N12" s="103" t="n"/>
      <c r="O12" s="104" t="n"/>
      <c r="P12" s="118">
        <f>IF(OR($B12="",$N12=""),"",N12*O12)</f>
        <v/>
      </c>
      <c r="Q12" s="103" t="n"/>
      <c r="R12" s="120">
        <f>IF(OR($B12="",$N12=""),"",N12-P12-Q12-L12)</f>
        <v/>
      </c>
      <c r="S12" s="121">
        <f>IF(OR($B12="",$N12=""),"",IF(N12&gt;0,R12/N12,0))</f>
        <v/>
      </c>
      <c r="T12" s="121">
        <f>IF(OR($B12="",$N12=""),"",IF(L12&gt;0,R12/L12,0))</f>
        <v/>
      </c>
      <c r="U12" s="118">
        <f>IF($B12="","",IF(O12&lt;1,(L12+Q12)/(1-O12),0))</f>
        <v/>
      </c>
      <c r="V12" s="118">
        <f>IF($B12="","",IF(O12+CFG_MARGEN&lt;1,(L12+Q12)/(1-O12-CFG_MARGEN),0))</f>
        <v/>
      </c>
      <c r="W12" s="118">
        <f>IF(OR($B12="",$N12=""),"",R12*H12)</f>
        <v/>
      </c>
    </row>
    <row r="13">
      <c r="B13" s="100" t="n"/>
      <c r="C13" s="107" t="n"/>
      <c r="D13" s="107" t="n"/>
      <c r="E13" s="107" t="n"/>
      <c r="F13" s="108">
        <f>IF($B13="","",SUMIFS(COMPRAS!$F$6:$F$305,COMPRAS!$C$6:$C$305,$B13))</f>
        <v/>
      </c>
      <c r="G13" s="108">
        <f>IF($B13="","",SUMIFS(VENTAS!$F$6:$F$505,VENTAS!$D$6:$D$505,$B13))</f>
        <v/>
      </c>
      <c r="H13" s="109">
        <f>IF($B13="","",F13-G13)</f>
        <v/>
      </c>
      <c r="I13" s="110" t="n"/>
      <c r="J13" s="111">
        <f>IF($B13="","",IF(H13&lt;=0,"AGOTADO",IF(H13&lt;=N(I13),"REORDENAR","OK")))</f>
        <v/>
      </c>
      <c r="K13" s="112">
        <f>IF($B13="","",SUMIFS(COMPRAS!$L$6:$L$305,COMPRAS!$C$6:$C$305,$B13))</f>
        <v/>
      </c>
      <c r="L13" s="113">
        <f>IF($B13="","",IF(F13&gt;0,K13/F13,0))</f>
        <v/>
      </c>
      <c r="M13" s="114">
        <f>IF($B13="","",H13*L13)</f>
        <v/>
      </c>
      <c r="N13" s="103" t="n"/>
      <c r="O13" s="104" t="n"/>
      <c r="P13" s="112">
        <f>IF(OR($B13="",$N13=""),"",N13*O13)</f>
        <v/>
      </c>
      <c r="Q13" s="103" t="n"/>
      <c r="R13" s="114">
        <f>IF(OR($B13="",$N13=""),"",N13-P13-Q13-L13)</f>
        <v/>
      </c>
      <c r="S13" s="115">
        <f>IF(OR($B13="",$N13=""),"",IF(N13&gt;0,R13/N13,0))</f>
        <v/>
      </c>
      <c r="T13" s="115">
        <f>IF(OR($B13="",$N13=""),"",IF(L13&gt;0,R13/L13,0))</f>
        <v/>
      </c>
      <c r="U13" s="112">
        <f>IF($B13="","",IF(O13&lt;1,(L13+Q13)/(1-O13),0))</f>
        <v/>
      </c>
      <c r="V13" s="112">
        <f>IF($B13="","",IF(O13+CFG_MARGEN&lt;1,(L13+Q13)/(1-O13-CFG_MARGEN),0))</f>
        <v/>
      </c>
      <c r="W13" s="112">
        <f>IF(OR($B13="",$N13=""),"",R13*H13)</f>
        <v/>
      </c>
    </row>
    <row r="14">
      <c r="B14" s="100" t="n"/>
      <c r="C14" s="107" t="n"/>
      <c r="D14" s="107" t="n"/>
      <c r="E14" s="107" t="n"/>
      <c r="F14" s="116">
        <f>IF($B14="","",SUMIFS(COMPRAS!$F$6:$F$305,COMPRAS!$C$6:$C$305,$B14))</f>
        <v/>
      </c>
      <c r="G14" s="116">
        <f>IF($B14="","",SUMIFS(VENTAS!$F$6:$F$505,VENTAS!$D$6:$D$505,$B14))</f>
        <v/>
      </c>
      <c r="H14" s="117">
        <f>IF($B14="","",F14-G14)</f>
        <v/>
      </c>
      <c r="I14" s="110" t="n"/>
      <c r="J14" s="111">
        <f>IF($B14="","",IF(H14&lt;=0,"AGOTADO",IF(H14&lt;=N(I14),"REORDENAR","OK")))</f>
        <v/>
      </c>
      <c r="K14" s="118">
        <f>IF($B14="","",SUMIFS(COMPRAS!$L$6:$L$305,COMPRAS!$C$6:$C$305,$B14))</f>
        <v/>
      </c>
      <c r="L14" s="119">
        <f>IF($B14="","",IF(F14&gt;0,K14/F14,0))</f>
        <v/>
      </c>
      <c r="M14" s="120">
        <f>IF($B14="","",H14*L14)</f>
        <v/>
      </c>
      <c r="N14" s="103" t="n"/>
      <c r="O14" s="104" t="n"/>
      <c r="P14" s="118">
        <f>IF(OR($B14="",$N14=""),"",N14*O14)</f>
        <v/>
      </c>
      <c r="Q14" s="103" t="n"/>
      <c r="R14" s="120">
        <f>IF(OR($B14="",$N14=""),"",N14-P14-Q14-L14)</f>
        <v/>
      </c>
      <c r="S14" s="121">
        <f>IF(OR($B14="",$N14=""),"",IF(N14&gt;0,R14/N14,0))</f>
        <v/>
      </c>
      <c r="T14" s="121">
        <f>IF(OR($B14="",$N14=""),"",IF(L14&gt;0,R14/L14,0))</f>
        <v/>
      </c>
      <c r="U14" s="118">
        <f>IF($B14="","",IF(O14&lt;1,(L14+Q14)/(1-O14),0))</f>
        <v/>
      </c>
      <c r="V14" s="118">
        <f>IF($B14="","",IF(O14+CFG_MARGEN&lt;1,(L14+Q14)/(1-O14-CFG_MARGEN),0))</f>
        <v/>
      </c>
      <c r="W14" s="118">
        <f>IF(OR($B14="",$N14=""),"",R14*H14)</f>
        <v/>
      </c>
    </row>
    <row r="15">
      <c r="B15" s="100" t="n"/>
      <c r="C15" s="107" t="n"/>
      <c r="D15" s="107" t="n"/>
      <c r="E15" s="107" t="n"/>
      <c r="F15" s="108">
        <f>IF($B15="","",SUMIFS(COMPRAS!$F$6:$F$305,COMPRAS!$C$6:$C$305,$B15))</f>
        <v/>
      </c>
      <c r="G15" s="108">
        <f>IF($B15="","",SUMIFS(VENTAS!$F$6:$F$505,VENTAS!$D$6:$D$505,$B15))</f>
        <v/>
      </c>
      <c r="H15" s="109">
        <f>IF($B15="","",F15-G15)</f>
        <v/>
      </c>
      <c r="I15" s="110" t="n"/>
      <c r="J15" s="111">
        <f>IF($B15="","",IF(H15&lt;=0,"AGOTADO",IF(H15&lt;=N(I15),"REORDENAR","OK")))</f>
        <v/>
      </c>
      <c r="K15" s="112">
        <f>IF($B15="","",SUMIFS(COMPRAS!$L$6:$L$305,COMPRAS!$C$6:$C$305,$B15))</f>
        <v/>
      </c>
      <c r="L15" s="113">
        <f>IF($B15="","",IF(F15&gt;0,K15/F15,0))</f>
        <v/>
      </c>
      <c r="M15" s="114">
        <f>IF($B15="","",H15*L15)</f>
        <v/>
      </c>
      <c r="N15" s="103" t="n"/>
      <c r="O15" s="104" t="n"/>
      <c r="P15" s="112">
        <f>IF(OR($B15="",$N15=""),"",N15*O15)</f>
        <v/>
      </c>
      <c r="Q15" s="103" t="n"/>
      <c r="R15" s="114">
        <f>IF(OR($B15="",$N15=""),"",N15-P15-Q15-L15)</f>
        <v/>
      </c>
      <c r="S15" s="115">
        <f>IF(OR($B15="",$N15=""),"",IF(N15&gt;0,R15/N15,0))</f>
        <v/>
      </c>
      <c r="T15" s="115">
        <f>IF(OR($B15="",$N15=""),"",IF(L15&gt;0,R15/L15,0))</f>
        <v/>
      </c>
      <c r="U15" s="112">
        <f>IF($B15="","",IF(O15&lt;1,(L15+Q15)/(1-O15),0))</f>
        <v/>
      </c>
      <c r="V15" s="112">
        <f>IF($B15="","",IF(O15+CFG_MARGEN&lt;1,(L15+Q15)/(1-O15-CFG_MARGEN),0))</f>
        <v/>
      </c>
      <c r="W15" s="112">
        <f>IF(OR($B15="",$N15=""),"",R15*H15)</f>
        <v/>
      </c>
    </row>
    <row r="16">
      <c r="B16" s="100" t="n"/>
      <c r="C16" s="107" t="n"/>
      <c r="D16" s="107" t="n"/>
      <c r="E16" s="107" t="n"/>
      <c r="F16" s="116">
        <f>IF($B16="","",SUMIFS(COMPRAS!$F$6:$F$305,COMPRAS!$C$6:$C$305,$B16))</f>
        <v/>
      </c>
      <c r="G16" s="116">
        <f>IF($B16="","",SUMIFS(VENTAS!$F$6:$F$505,VENTAS!$D$6:$D$505,$B16))</f>
        <v/>
      </c>
      <c r="H16" s="117">
        <f>IF($B16="","",F16-G16)</f>
        <v/>
      </c>
      <c r="I16" s="110" t="n"/>
      <c r="J16" s="111">
        <f>IF($B16="","",IF(H16&lt;=0,"AGOTADO",IF(H16&lt;=N(I16),"REORDENAR","OK")))</f>
        <v/>
      </c>
      <c r="K16" s="118">
        <f>IF($B16="","",SUMIFS(COMPRAS!$L$6:$L$305,COMPRAS!$C$6:$C$305,$B16))</f>
        <v/>
      </c>
      <c r="L16" s="119">
        <f>IF($B16="","",IF(F16&gt;0,K16/F16,0))</f>
        <v/>
      </c>
      <c r="M16" s="120">
        <f>IF($B16="","",H16*L16)</f>
        <v/>
      </c>
      <c r="N16" s="103" t="n"/>
      <c r="O16" s="104" t="n"/>
      <c r="P16" s="118">
        <f>IF(OR($B16="",$N16=""),"",N16*O16)</f>
        <v/>
      </c>
      <c r="Q16" s="103" t="n"/>
      <c r="R16" s="120">
        <f>IF(OR($B16="",$N16=""),"",N16-P16-Q16-L16)</f>
        <v/>
      </c>
      <c r="S16" s="121">
        <f>IF(OR($B16="",$N16=""),"",IF(N16&gt;0,R16/N16,0))</f>
        <v/>
      </c>
      <c r="T16" s="121">
        <f>IF(OR($B16="",$N16=""),"",IF(L16&gt;0,R16/L16,0))</f>
        <v/>
      </c>
      <c r="U16" s="118">
        <f>IF($B16="","",IF(O16&lt;1,(L16+Q16)/(1-O16),0))</f>
        <v/>
      </c>
      <c r="V16" s="118">
        <f>IF($B16="","",IF(O16+CFG_MARGEN&lt;1,(L16+Q16)/(1-O16-CFG_MARGEN),0))</f>
        <v/>
      </c>
      <c r="W16" s="118">
        <f>IF(OR($B16="",$N16=""),"",R16*H16)</f>
        <v/>
      </c>
    </row>
    <row r="17">
      <c r="B17" s="100" t="n"/>
      <c r="C17" s="107" t="n"/>
      <c r="D17" s="107" t="n"/>
      <c r="E17" s="107" t="n"/>
      <c r="F17" s="108">
        <f>IF($B17="","",SUMIFS(COMPRAS!$F$6:$F$305,COMPRAS!$C$6:$C$305,$B17))</f>
        <v/>
      </c>
      <c r="G17" s="108">
        <f>IF($B17="","",SUMIFS(VENTAS!$F$6:$F$505,VENTAS!$D$6:$D$505,$B17))</f>
        <v/>
      </c>
      <c r="H17" s="109">
        <f>IF($B17="","",F17-G17)</f>
        <v/>
      </c>
      <c r="I17" s="110" t="n"/>
      <c r="J17" s="111">
        <f>IF($B17="","",IF(H17&lt;=0,"AGOTADO",IF(H17&lt;=N(I17),"REORDENAR","OK")))</f>
        <v/>
      </c>
      <c r="K17" s="112">
        <f>IF($B17="","",SUMIFS(COMPRAS!$L$6:$L$305,COMPRAS!$C$6:$C$305,$B17))</f>
        <v/>
      </c>
      <c r="L17" s="113">
        <f>IF($B17="","",IF(F17&gt;0,K17/F17,0))</f>
        <v/>
      </c>
      <c r="M17" s="114">
        <f>IF($B17="","",H17*L17)</f>
        <v/>
      </c>
      <c r="N17" s="103" t="n"/>
      <c r="O17" s="104" t="n"/>
      <c r="P17" s="112">
        <f>IF(OR($B17="",$N17=""),"",N17*O17)</f>
        <v/>
      </c>
      <c r="Q17" s="103" t="n"/>
      <c r="R17" s="114">
        <f>IF(OR($B17="",$N17=""),"",N17-P17-Q17-L17)</f>
        <v/>
      </c>
      <c r="S17" s="115">
        <f>IF(OR($B17="",$N17=""),"",IF(N17&gt;0,R17/N17,0))</f>
        <v/>
      </c>
      <c r="T17" s="115">
        <f>IF(OR($B17="",$N17=""),"",IF(L17&gt;0,R17/L17,0))</f>
        <v/>
      </c>
      <c r="U17" s="112">
        <f>IF($B17="","",IF(O17&lt;1,(L17+Q17)/(1-O17),0))</f>
        <v/>
      </c>
      <c r="V17" s="112">
        <f>IF($B17="","",IF(O17+CFG_MARGEN&lt;1,(L17+Q17)/(1-O17-CFG_MARGEN),0))</f>
        <v/>
      </c>
      <c r="W17" s="112">
        <f>IF(OR($B17="",$N17=""),"",R17*H17)</f>
        <v/>
      </c>
    </row>
    <row r="18">
      <c r="B18" s="100" t="n"/>
      <c r="C18" s="107" t="n"/>
      <c r="D18" s="107" t="n"/>
      <c r="E18" s="107" t="n"/>
      <c r="F18" s="116">
        <f>IF($B18="","",SUMIFS(COMPRAS!$F$6:$F$305,COMPRAS!$C$6:$C$305,$B18))</f>
        <v/>
      </c>
      <c r="G18" s="116">
        <f>IF($B18="","",SUMIFS(VENTAS!$F$6:$F$505,VENTAS!$D$6:$D$505,$B18))</f>
        <v/>
      </c>
      <c r="H18" s="117">
        <f>IF($B18="","",F18-G18)</f>
        <v/>
      </c>
      <c r="I18" s="110" t="n"/>
      <c r="J18" s="111">
        <f>IF($B18="","",IF(H18&lt;=0,"AGOTADO",IF(H18&lt;=N(I18),"REORDENAR","OK")))</f>
        <v/>
      </c>
      <c r="K18" s="118">
        <f>IF($B18="","",SUMIFS(COMPRAS!$L$6:$L$305,COMPRAS!$C$6:$C$305,$B18))</f>
        <v/>
      </c>
      <c r="L18" s="119">
        <f>IF($B18="","",IF(F18&gt;0,K18/F18,0))</f>
        <v/>
      </c>
      <c r="M18" s="120">
        <f>IF($B18="","",H18*L18)</f>
        <v/>
      </c>
      <c r="N18" s="103" t="n"/>
      <c r="O18" s="104" t="n"/>
      <c r="P18" s="118">
        <f>IF(OR($B18="",$N18=""),"",N18*O18)</f>
        <v/>
      </c>
      <c r="Q18" s="103" t="n"/>
      <c r="R18" s="120">
        <f>IF(OR($B18="",$N18=""),"",N18-P18-Q18-L18)</f>
        <v/>
      </c>
      <c r="S18" s="121">
        <f>IF(OR($B18="",$N18=""),"",IF(N18&gt;0,R18/N18,0))</f>
        <v/>
      </c>
      <c r="T18" s="121">
        <f>IF(OR($B18="",$N18=""),"",IF(L18&gt;0,R18/L18,0))</f>
        <v/>
      </c>
      <c r="U18" s="118">
        <f>IF($B18="","",IF(O18&lt;1,(L18+Q18)/(1-O18),0))</f>
        <v/>
      </c>
      <c r="V18" s="118">
        <f>IF($B18="","",IF(O18+CFG_MARGEN&lt;1,(L18+Q18)/(1-O18-CFG_MARGEN),0))</f>
        <v/>
      </c>
      <c r="W18" s="118">
        <f>IF(OR($B18="",$N18=""),"",R18*H18)</f>
        <v/>
      </c>
    </row>
    <row r="19">
      <c r="B19" s="100" t="n"/>
      <c r="C19" s="107" t="n"/>
      <c r="D19" s="107" t="n"/>
      <c r="E19" s="107" t="n"/>
      <c r="F19" s="108">
        <f>IF($B19="","",SUMIFS(COMPRAS!$F$6:$F$305,COMPRAS!$C$6:$C$305,$B19))</f>
        <v/>
      </c>
      <c r="G19" s="108">
        <f>IF($B19="","",SUMIFS(VENTAS!$F$6:$F$505,VENTAS!$D$6:$D$505,$B19))</f>
        <v/>
      </c>
      <c r="H19" s="109">
        <f>IF($B19="","",F19-G19)</f>
        <v/>
      </c>
      <c r="I19" s="110" t="n"/>
      <c r="J19" s="111">
        <f>IF($B19="","",IF(H19&lt;=0,"AGOTADO",IF(H19&lt;=N(I19),"REORDENAR","OK")))</f>
        <v/>
      </c>
      <c r="K19" s="112">
        <f>IF($B19="","",SUMIFS(COMPRAS!$L$6:$L$305,COMPRAS!$C$6:$C$305,$B19))</f>
        <v/>
      </c>
      <c r="L19" s="113">
        <f>IF($B19="","",IF(F19&gt;0,K19/F19,0))</f>
        <v/>
      </c>
      <c r="M19" s="114">
        <f>IF($B19="","",H19*L19)</f>
        <v/>
      </c>
      <c r="N19" s="103" t="n"/>
      <c r="O19" s="104" t="n"/>
      <c r="P19" s="112">
        <f>IF(OR($B19="",$N19=""),"",N19*O19)</f>
        <v/>
      </c>
      <c r="Q19" s="103" t="n"/>
      <c r="R19" s="114">
        <f>IF(OR($B19="",$N19=""),"",N19-P19-Q19-L19)</f>
        <v/>
      </c>
      <c r="S19" s="115">
        <f>IF(OR($B19="",$N19=""),"",IF(N19&gt;0,R19/N19,0))</f>
        <v/>
      </c>
      <c r="T19" s="115">
        <f>IF(OR($B19="",$N19=""),"",IF(L19&gt;0,R19/L19,0))</f>
        <v/>
      </c>
      <c r="U19" s="112">
        <f>IF($B19="","",IF(O19&lt;1,(L19+Q19)/(1-O19),0))</f>
        <v/>
      </c>
      <c r="V19" s="112">
        <f>IF($B19="","",IF(O19+CFG_MARGEN&lt;1,(L19+Q19)/(1-O19-CFG_MARGEN),0))</f>
        <v/>
      </c>
      <c r="W19" s="112">
        <f>IF(OR($B19="",$N19=""),"",R19*H19)</f>
        <v/>
      </c>
    </row>
    <row r="20">
      <c r="B20" s="100" t="n"/>
      <c r="C20" s="107" t="n"/>
      <c r="D20" s="107" t="n"/>
      <c r="E20" s="107" t="n"/>
      <c r="F20" s="116">
        <f>IF($B20="","",SUMIFS(COMPRAS!$F$6:$F$305,COMPRAS!$C$6:$C$305,$B20))</f>
        <v/>
      </c>
      <c r="G20" s="116">
        <f>IF($B20="","",SUMIFS(VENTAS!$F$6:$F$505,VENTAS!$D$6:$D$505,$B20))</f>
        <v/>
      </c>
      <c r="H20" s="117">
        <f>IF($B20="","",F20-G20)</f>
        <v/>
      </c>
      <c r="I20" s="110" t="n"/>
      <c r="J20" s="111">
        <f>IF($B20="","",IF(H20&lt;=0,"AGOTADO",IF(H20&lt;=N(I20),"REORDENAR","OK")))</f>
        <v/>
      </c>
      <c r="K20" s="118">
        <f>IF($B20="","",SUMIFS(COMPRAS!$L$6:$L$305,COMPRAS!$C$6:$C$305,$B20))</f>
        <v/>
      </c>
      <c r="L20" s="119">
        <f>IF($B20="","",IF(F20&gt;0,K20/F20,0))</f>
        <v/>
      </c>
      <c r="M20" s="120">
        <f>IF($B20="","",H20*L20)</f>
        <v/>
      </c>
      <c r="N20" s="103" t="n"/>
      <c r="O20" s="104" t="n"/>
      <c r="P20" s="118">
        <f>IF(OR($B20="",$N20=""),"",N20*O20)</f>
        <v/>
      </c>
      <c r="Q20" s="103" t="n"/>
      <c r="R20" s="120">
        <f>IF(OR($B20="",$N20=""),"",N20-P20-Q20-L20)</f>
        <v/>
      </c>
      <c r="S20" s="121">
        <f>IF(OR($B20="",$N20=""),"",IF(N20&gt;0,R20/N20,0))</f>
        <v/>
      </c>
      <c r="T20" s="121">
        <f>IF(OR($B20="",$N20=""),"",IF(L20&gt;0,R20/L20,0))</f>
        <v/>
      </c>
      <c r="U20" s="118">
        <f>IF($B20="","",IF(O20&lt;1,(L20+Q20)/(1-O20),0))</f>
        <v/>
      </c>
      <c r="V20" s="118">
        <f>IF($B20="","",IF(O20+CFG_MARGEN&lt;1,(L20+Q20)/(1-O20-CFG_MARGEN),0))</f>
        <v/>
      </c>
      <c r="W20" s="118">
        <f>IF(OR($B20="",$N20=""),"",R20*H20)</f>
        <v/>
      </c>
    </row>
    <row r="21">
      <c r="B21" s="100" t="n"/>
      <c r="C21" s="107" t="n"/>
      <c r="D21" s="107" t="n"/>
      <c r="E21" s="107" t="n"/>
      <c r="F21" s="108">
        <f>IF($B21="","",SUMIFS(COMPRAS!$F$6:$F$305,COMPRAS!$C$6:$C$305,$B21))</f>
        <v/>
      </c>
      <c r="G21" s="108">
        <f>IF($B21="","",SUMIFS(VENTAS!$F$6:$F$505,VENTAS!$D$6:$D$505,$B21))</f>
        <v/>
      </c>
      <c r="H21" s="109">
        <f>IF($B21="","",F21-G21)</f>
        <v/>
      </c>
      <c r="I21" s="110" t="n"/>
      <c r="J21" s="111">
        <f>IF($B21="","",IF(H21&lt;=0,"AGOTADO",IF(H21&lt;=N(I21),"REORDENAR","OK")))</f>
        <v/>
      </c>
      <c r="K21" s="112">
        <f>IF($B21="","",SUMIFS(COMPRAS!$L$6:$L$305,COMPRAS!$C$6:$C$305,$B21))</f>
        <v/>
      </c>
      <c r="L21" s="113">
        <f>IF($B21="","",IF(F21&gt;0,K21/F21,0))</f>
        <v/>
      </c>
      <c r="M21" s="114">
        <f>IF($B21="","",H21*L21)</f>
        <v/>
      </c>
      <c r="N21" s="103" t="n"/>
      <c r="O21" s="104" t="n"/>
      <c r="P21" s="112">
        <f>IF(OR($B21="",$N21=""),"",N21*O21)</f>
        <v/>
      </c>
      <c r="Q21" s="103" t="n"/>
      <c r="R21" s="114">
        <f>IF(OR($B21="",$N21=""),"",N21-P21-Q21-L21)</f>
        <v/>
      </c>
      <c r="S21" s="115">
        <f>IF(OR($B21="",$N21=""),"",IF(N21&gt;0,R21/N21,0))</f>
        <v/>
      </c>
      <c r="T21" s="115">
        <f>IF(OR($B21="",$N21=""),"",IF(L21&gt;0,R21/L21,0))</f>
        <v/>
      </c>
      <c r="U21" s="112">
        <f>IF($B21="","",IF(O21&lt;1,(L21+Q21)/(1-O21),0))</f>
        <v/>
      </c>
      <c r="V21" s="112">
        <f>IF($B21="","",IF(O21+CFG_MARGEN&lt;1,(L21+Q21)/(1-O21-CFG_MARGEN),0))</f>
        <v/>
      </c>
      <c r="W21" s="112">
        <f>IF(OR($B21="",$N21=""),"",R21*H21)</f>
        <v/>
      </c>
    </row>
    <row r="22">
      <c r="B22" s="100" t="n"/>
      <c r="C22" s="107" t="n"/>
      <c r="D22" s="107" t="n"/>
      <c r="E22" s="107" t="n"/>
      <c r="F22" s="116">
        <f>IF($B22="","",SUMIFS(COMPRAS!$F$6:$F$305,COMPRAS!$C$6:$C$305,$B22))</f>
        <v/>
      </c>
      <c r="G22" s="116">
        <f>IF($B22="","",SUMIFS(VENTAS!$F$6:$F$505,VENTAS!$D$6:$D$505,$B22))</f>
        <v/>
      </c>
      <c r="H22" s="117">
        <f>IF($B22="","",F22-G22)</f>
        <v/>
      </c>
      <c r="I22" s="110" t="n"/>
      <c r="J22" s="111">
        <f>IF($B22="","",IF(H22&lt;=0,"AGOTADO",IF(H22&lt;=N(I22),"REORDENAR","OK")))</f>
        <v/>
      </c>
      <c r="K22" s="118">
        <f>IF($B22="","",SUMIFS(COMPRAS!$L$6:$L$305,COMPRAS!$C$6:$C$305,$B22))</f>
        <v/>
      </c>
      <c r="L22" s="119">
        <f>IF($B22="","",IF(F22&gt;0,K22/F22,0))</f>
        <v/>
      </c>
      <c r="M22" s="120">
        <f>IF($B22="","",H22*L22)</f>
        <v/>
      </c>
      <c r="N22" s="103" t="n"/>
      <c r="O22" s="104" t="n"/>
      <c r="P22" s="118">
        <f>IF(OR($B22="",$N22=""),"",N22*O22)</f>
        <v/>
      </c>
      <c r="Q22" s="103" t="n"/>
      <c r="R22" s="120">
        <f>IF(OR($B22="",$N22=""),"",N22-P22-Q22-L22)</f>
        <v/>
      </c>
      <c r="S22" s="121">
        <f>IF(OR($B22="",$N22=""),"",IF(N22&gt;0,R22/N22,0))</f>
        <v/>
      </c>
      <c r="T22" s="121">
        <f>IF(OR($B22="",$N22=""),"",IF(L22&gt;0,R22/L22,0))</f>
        <v/>
      </c>
      <c r="U22" s="118">
        <f>IF($B22="","",IF(O22&lt;1,(L22+Q22)/(1-O22),0))</f>
        <v/>
      </c>
      <c r="V22" s="118">
        <f>IF($B22="","",IF(O22+CFG_MARGEN&lt;1,(L22+Q22)/(1-O22-CFG_MARGEN),0))</f>
        <v/>
      </c>
      <c r="W22" s="118">
        <f>IF(OR($B22="",$N22=""),"",R22*H22)</f>
        <v/>
      </c>
    </row>
    <row r="23">
      <c r="B23" s="100" t="n"/>
      <c r="C23" s="107" t="n"/>
      <c r="D23" s="107" t="n"/>
      <c r="E23" s="107" t="n"/>
      <c r="F23" s="108">
        <f>IF($B23="","",SUMIFS(COMPRAS!$F$6:$F$305,COMPRAS!$C$6:$C$305,$B23))</f>
        <v/>
      </c>
      <c r="G23" s="108">
        <f>IF($B23="","",SUMIFS(VENTAS!$F$6:$F$505,VENTAS!$D$6:$D$505,$B23))</f>
        <v/>
      </c>
      <c r="H23" s="109">
        <f>IF($B23="","",F23-G23)</f>
        <v/>
      </c>
      <c r="I23" s="110" t="n"/>
      <c r="J23" s="111">
        <f>IF($B23="","",IF(H23&lt;=0,"AGOTADO",IF(H23&lt;=N(I23),"REORDENAR","OK")))</f>
        <v/>
      </c>
      <c r="K23" s="112">
        <f>IF($B23="","",SUMIFS(COMPRAS!$L$6:$L$305,COMPRAS!$C$6:$C$305,$B23))</f>
        <v/>
      </c>
      <c r="L23" s="113">
        <f>IF($B23="","",IF(F23&gt;0,K23/F23,0))</f>
        <v/>
      </c>
      <c r="M23" s="114">
        <f>IF($B23="","",H23*L23)</f>
        <v/>
      </c>
      <c r="N23" s="103" t="n"/>
      <c r="O23" s="104" t="n"/>
      <c r="P23" s="112">
        <f>IF(OR($B23="",$N23=""),"",N23*O23)</f>
        <v/>
      </c>
      <c r="Q23" s="103" t="n"/>
      <c r="R23" s="114">
        <f>IF(OR($B23="",$N23=""),"",N23-P23-Q23-L23)</f>
        <v/>
      </c>
      <c r="S23" s="115">
        <f>IF(OR($B23="",$N23=""),"",IF(N23&gt;0,R23/N23,0))</f>
        <v/>
      </c>
      <c r="T23" s="115">
        <f>IF(OR($B23="",$N23=""),"",IF(L23&gt;0,R23/L23,0))</f>
        <v/>
      </c>
      <c r="U23" s="112">
        <f>IF($B23="","",IF(O23&lt;1,(L23+Q23)/(1-O23),0))</f>
        <v/>
      </c>
      <c r="V23" s="112">
        <f>IF($B23="","",IF(O23+CFG_MARGEN&lt;1,(L23+Q23)/(1-O23-CFG_MARGEN),0))</f>
        <v/>
      </c>
      <c r="W23" s="112">
        <f>IF(OR($B23="",$N23=""),"",R23*H23)</f>
        <v/>
      </c>
    </row>
    <row r="24">
      <c r="B24" s="100" t="n"/>
      <c r="C24" s="107" t="n"/>
      <c r="D24" s="107" t="n"/>
      <c r="E24" s="107" t="n"/>
      <c r="F24" s="116">
        <f>IF($B24="","",SUMIFS(COMPRAS!$F$6:$F$305,COMPRAS!$C$6:$C$305,$B24))</f>
        <v/>
      </c>
      <c r="G24" s="116">
        <f>IF($B24="","",SUMIFS(VENTAS!$F$6:$F$505,VENTAS!$D$6:$D$505,$B24))</f>
        <v/>
      </c>
      <c r="H24" s="117">
        <f>IF($B24="","",F24-G24)</f>
        <v/>
      </c>
      <c r="I24" s="110" t="n"/>
      <c r="J24" s="111">
        <f>IF($B24="","",IF(H24&lt;=0,"AGOTADO",IF(H24&lt;=N(I24),"REORDENAR","OK")))</f>
        <v/>
      </c>
      <c r="K24" s="118">
        <f>IF($B24="","",SUMIFS(COMPRAS!$L$6:$L$305,COMPRAS!$C$6:$C$305,$B24))</f>
        <v/>
      </c>
      <c r="L24" s="119">
        <f>IF($B24="","",IF(F24&gt;0,K24/F24,0))</f>
        <v/>
      </c>
      <c r="M24" s="120">
        <f>IF($B24="","",H24*L24)</f>
        <v/>
      </c>
      <c r="N24" s="103" t="n"/>
      <c r="O24" s="104" t="n"/>
      <c r="P24" s="118">
        <f>IF(OR($B24="",$N24=""),"",N24*O24)</f>
        <v/>
      </c>
      <c r="Q24" s="103" t="n"/>
      <c r="R24" s="120">
        <f>IF(OR($B24="",$N24=""),"",N24-P24-Q24-L24)</f>
        <v/>
      </c>
      <c r="S24" s="121">
        <f>IF(OR($B24="",$N24=""),"",IF(N24&gt;0,R24/N24,0))</f>
        <v/>
      </c>
      <c r="T24" s="121">
        <f>IF(OR($B24="",$N24=""),"",IF(L24&gt;0,R24/L24,0))</f>
        <v/>
      </c>
      <c r="U24" s="118">
        <f>IF($B24="","",IF(O24&lt;1,(L24+Q24)/(1-O24),0))</f>
        <v/>
      </c>
      <c r="V24" s="118">
        <f>IF($B24="","",IF(O24+CFG_MARGEN&lt;1,(L24+Q24)/(1-O24-CFG_MARGEN),0))</f>
        <v/>
      </c>
      <c r="W24" s="118">
        <f>IF(OR($B24="",$N24=""),"",R24*H24)</f>
        <v/>
      </c>
    </row>
    <row r="25">
      <c r="B25" s="100" t="n"/>
      <c r="C25" s="107" t="n"/>
      <c r="D25" s="107" t="n"/>
      <c r="E25" s="107" t="n"/>
      <c r="F25" s="108">
        <f>IF($B25="","",SUMIFS(COMPRAS!$F$6:$F$305,COMPRAS!$C$6:$C$305,$B25))</f>
        <v/>
      </c>
      <c r="G25" s="108">
        <f>IF($B25="","",SUMIFS(VENTAS!$F$6:$F$505,VENTAS!$D$6:$D$505,$B25))</f>
        <v/>
      </c>
      <c r="H25" s="109">
        <f>IF($B25="","",F25-G25)</f>
        <v/>
      </c>
      <c r="I25" s="110" t="n"/>
      <c r="J25" s="111">
        <f>IF($B25="","",IF(H25&lt;=0,"AGOTADO",IF(H25&lt;=N(I25),"REORDENAR","OK")))</f>
        <v/>
      </c>
      <c r="K25" s="112">
        <f>IF($B25="","",SUMIFS(COMPRAS!$L$6:$L$305,COMPRAS!$C$6:$C$305,$B25))</f>
        <v/>
      </c>
      <c r="L25" s="113">
        <f>IF($B25="","",IF(F25&gt;0,K25/F25,0))</f>
        <v/>
      </c>
      <c r="M25" s="114">
        <f>IF($B25="","",H25*L25)</f>
        <v/>
      </c>
      <c r="N25" s="103" t="n"/>
      <c r="O25" s="104" t="n"/>
      <c r="P25" s="112">
        <f>IF(OR($B25="",$N25=""),"",N25*O25)</f>
        <v/>
      </c>
      <c r="Q25" s="103" t="n"/>
      <c r="R25" s="114">
        <f>IF(OR($B25="",$N25=""),"",N25-P25-Q25-L25)</f>
        <v/>
      </c>
      <c r="S25" s="115">
        <f>IF(OR($B25="",$N25=""),"",IF(N25&gt;0,R25/N25,0))</f>
        <v/>
      </c>
      <c r="T25" s="115">
        <f>IF(OR($B25="",$N25=""),"",IF(L25&gt;0,R25/L25,0))</f>
        <v/>
      </c>
      <c r="U25" s="112">
        <f>IF($B25="","",IF(O25&lt;1,(L25+Q25)/(1-O25),0))</f>
        <v/>
      </c>
      <c r="V25" s="112">
        <f>IF($B25="","",IF(O25+CFG_MARGEN&lt;1,(L25+Q25)/(1-O25-CFG_MARGEN),0))</f>
        <v/>
      </c>
      <c r="W25" s="112">
        <f>IF(OR($B25="",$N25=""),"",R25*H25)</f>
        <v/>
      </c>
    </row>
    <row r="26">
      <c r="B26" s="100" t="n"/>
      <c r="C26" s="107" t="n"/>
      <c r="D26" s="107" t="n"/>
      <c r="E26" s="107" t="n"/>
      <c r="F26" s="116">
        <f>IF($B26="","",SUMIFS(COMPRAS!$F$6:$F$305,COMPRAS!$C$6:$C$305,$B26))</f>
        <v/>
      </c>
      <c r="G26" s="116">
        <f>IF($B26="","",SUMIFS(VENTAS!$F$6:$F$505,VENTAS!$D$6:$D$505,$B26))</f>
        <v/>
      </c>
      <c r="H26" s="117">
        <f>IF($B26="","",F26-G26)</f>
        <v/>
      </c>
      <c r="I26" s="110" t="n"/>
      <c r="J26" s="111">
        <f>IF($B26="","",IF(H26&lt;=0,"AGOTADO",IF(H26&lt;=N(I26),"REORDENAR","OK")))</f>
        <v/>
      </c>
      <c r="K26" s="118">
        <f>IF($B26="","",SUMIFS(COMPRAS!$L$6:$L$305,COMPRAS!$C$6:$C$305,$B26))</f>
        <v/>
      </c>
      <c r="L26" s="119">
        <f>IF($B26="","",IF(F26&gt;0,K26/F26,0))</f>
        <v/>
      </c>
      <c r="M26" s="120">
        <f>IF($B26="","",H26*L26)</f>
        <v/>
      </c>
      <c r="N26" s="103" t="n"/>
      <c r="O26" s="104" t="n"/>
      <c r="P26" s="118">
        <f>IF(OR($B26="",$N26=""),"",N26*O26)</f>
        <v/>
      </c>
      <c r="Q26" s="103" t="n"/>
      <c r="R26" s="120">
        <f>IF(OR($B26="",$N26=""),"",N26-P26-Q26-L26)</f>
        <v/>
      </c>
      <c r="S26" s="121">
        <f>IF(OR($B26="",$N26=""),"",IF(N26&gt;0,R26/N26,0))</f>
        <v/>
      </c>
      <c r="T26" s="121">
        <f>IF(OR($B26="",$N26=""),"",IF(L26&gt;0,R26/L26,0))</f>
        <v/>
      </c>
      <c r="U26" s="118">
        <f>IF($B26="","",IF(O26&lt;1,(L26+Q26)/(1-O26),0))</f>
        <v/>
      </c>
      <c r="V26" s="118">
        <f>IF($B26="","",IF(O26+CFG_MARGEN&lt;1,(L26+Q26)/(1-O26-CFG_MARGEN),0))</f>
        <v/>
      </c>
      <c r="W26" s="118">
        <f>IF(OR($B26="",$N26=""),"",R26*H26)</f>
        <v/>
      </c>
    </row>
    <row r="27" ht="22" customHeight="1">
      <c r="B27" s="122" t="inlineStr">
        <is>
          <t>TOTAL</t>
        </is>
      </c>
      <c r="C27" s="122" t="n"/>
      <c r="D27" s="122" t="n"/>
      <c r="E27" s="122" t="n"/>
      <c r="F27" s="122">
        <f>SUM(F7:F26)</f>
        <v/>
      </c>
      <c r="G27" s="122">
        <f>SUM(G7:G26)</f>
        <v/>
      </c>
      <c r="H27" s="122">
        <f>SUM(H7:H26)</f>
        <v/>
      </c>
      <c r="I27" s="122" t="n"/>
      <c r="J27" s="122" t="n"/>
      <c r="K27" s="123">
        <f>SUM(K7:K26)</f>
        <v/>
      </c>
      <c r="L27" s="122" t="n"/>
      <c r="M27" s="123">
        <f>SUM(M7:M26)</f>
        <v/>
      </c>
      <c r="N27" s="122" t="n"/>
      <c r="O27" s="122" t="n"/>
      <c r="P27" s="122" t="n"/>
      <c r="Q27" s="122" t="n"/>
      <c r="R27" s="122" t="n"/>
      <c r="S27" s="122" t="n"/>
      <c r="T27" s="122" t="n"/>
      <c r="U27" s="122" t="n"/>
      <c r="V27" s="122" t="n"/>
      <c r="W27" s="123">
        <f>SUM(W7:W26)</f>
        <v/>
      </c>
    </row>
    <row r="29">
      <c r="B29" s="124" t="inlineStr">
        <is>
          <t>Leyenda:</t>
        </is>
      </c>
      <c r="C29" s="125" t="inlineStr">
        <is>
          <t>Amarillo = dato editable · Blanco = cálculo automático · Precio en rojo claro = precio pendiente de definir · Margen en rojo = por debajo del objetivo (CONFIG).</t>
        </is>
      </c>
    </row>
  </sheetData>
  <conditionalFormatting sqref="J7:J26">
    <cfRule type="cellIs" priority="1" operator="equal" dxfId="8">
      <formula>"OK"</formula>
    </cfRule>
    <cfRule type="cellIs" priority="2" operator="equal" dxfId="9">
      <formula>"REORDENAR"</formula>
    </cfRule>
    <cfRule type="cellIs" priority="3" operator="equal" dxfId="10">
      <formula>"AGOTADO"</formula>
    </cfRule>
  </conditionalFormatting>
  <conditionalFormatting sqref="M7:M26">
    <cfRule type="dataBar" priority="4">
      <dataBar>
        <cfvo type="num" val="0"/>
        <cfvo type="max"/>
        <color rgb="000E9F8A"/>
      </dataBar>
    </cfRule>
  </conditionalFormatting>
  <conditionalFormatting sqref="S7:S26">
    <cfRule type="expression" priority="5" dxfId="11">
      <formula>AND(ISNUMBER(S7),S7&lt;CFG_MARGEN)</formula>
    </cfRule>
    <cfRule type="expression" priority="6" dxfId="12">
      <formula>AND(ISNUMBER(S7),S7&gt;=CFG_MARGEN)</formula>
    </cfRule>
  </conditionalFormatting>
  <conditionalFormatting sqref="N7:N26">
    <cfRule type="expression" priority="7" dxfId="13">
      <formula>AND($B7&lt;&gt;"",$N7="")</formula>
    </cfRule>
  </conditionalFormatting>
  <printOptions horizontalCentered="1"/>
  <pageMargins left="0.4" right="0.4" top="1" bottom="1" header="0.5" footer="0.5"/>
  <pageSetup orientation="landscape" fitToHeight="0" fitToWidth="1"/>
  <headerFooter>
    <oddHeader/>
    <oddFooter>&amp;C&amp;8 COTIMIX · Sistema de control financiero ·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0E9F8A"/>
    <outlinePr summaryBelow="1" summaryRight="1"/>
    <pageSetUpPr fitToPage="1"/>
  </sheetPr>
  <dimension ref="A1:O306"/>
  <sheetViews>
    <sheetView showGridLines="0" zoomScale="9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2" customWidth="1" min="2" max="2"/>
    <col width="12" customWidth="1" min="3" max="3"/>
    <col width="24" customWidth="1" min="4" max="4"/>
    <col width="18" customWidth="1" min="5" max="5"/>
    <col width="10" customWidth="1" min="6" max="6"/>
    <col width="14" customWidth="1" min="7" max="7"/>
    <col width="14" customWidth="1" min="8" max="8"/>
    <col width="16" customWidth="1" min="9" max="9"/>
    <col width="11" customWidth="1" min="10" max="10"/>
    <col width="12" customWidth="1" min="11" max="11"/>
    <col width="15" customWidth="1" min="12" max="12"/>
    <col width="14" customWidth="1" min="13" max="13"/>
    <col width="34" customWidth="1" min="14" max="14"/>
  </cols>
  <sheetData>
    <row r="1" ht="34" customHeight="1">
      <c r="A1" s="1" t="n"/>
      <c r="B1" s="2" t="inlineStr">
        <is>
          <t>COTIMIX · REGISTRO DE COMPRAS DE INVENTARIO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0" customHeight="1">
      <c r="A2" s="1" t="n"/>
      <c r="B2" s="3" t="inlineStr">
        <is>
          <t>Cada compra suma unidades y costo al inventario. Si se paga con Citi, el 2.9% se integra al costo del producto.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B4" s="126" t="inlineStr">
        <is>
          <t>Columnas amarillas = captura · blancas = automáticas</t>
        </is>
      </c>
    </row>
    <row r="5" ht="32" customHeight="1">
      <c r="B5" s="95" t="inlineStr">
        <is>
          <t>Fecha</t>
        </is>
      </c>
      <c r="C5" s="95" t="inlineStr">
        <is>
          <t>ID Producto</t>
        </is>
      </c>
      <c r="D5" s="95" t="inlineStr">
        <is>
          <t>Producto</t>
        </is>
      </c>
      <c r="E5" s="95" t="inlineStr">
        <is>
          <t>Proveedor</t>
        </is>
      </c>
      <c r="F5" s="95" t="inlineStr">
        <is>
          <t>Cantidad</t>
        </is>
      </c>
      <c r="G5" s="95" t="inlineStr">
        <is>
          <t>Costo unitario
(factura)</t>
        </is>
      </c>
      <c r="H5" s="95" t="inlineStr">
        <is>
          <t>Subtotal</t>
        </is>
      </c>
      <c r="I5" s="95" t="inlineStr">
        <is>
          <t>Método de pago</t>
        </is>
      </c>
      <c r="J5" s="95" t="inlineStr">
        <is>
          <t>Recargo
tarjeta %</t>
        </is>
      </c>
      <c r="K5" s="95" t="inlineStr">
        <is>
          <t>Recargo
tarjeta $</t>
        </is>
      </c>
      <c r="L5" s="95" t="inlineStr">
        <is>
          <t>COSTO REAL
TOTAL</t>
        </is>
      </c>
      <c r="M5" s="95" t="inlineStr">
        <is>
          <t>Costo real
por unidad</t>
        </is>
      </c>
      <c r="N5" s="95" t="inlineStr">
        <is>
          <t>Notas</t>
        </is>
      </c>
    </row>
    <row r="6">
      <c r="B6" s="101" t="n">
        <v>46323</v>
      </c>
      <c r="C6" s="100" t="inlineStr">
        <is>
          <t>P001</t>
        </is>
      </c>
      <c r="D6" s="96">
        <f>IF($C6="","",IFERROR(INDEX(INVENTARIO!$C$7:$C$26,MATCH($C6,INVENTARIO!$B$7:$B$26,0)),"⚠ ID no existe"))</f>
        <v/>
      </c>
      <c r="E6" s="127" t="inlineStr">
        <is>
          <t>Proveedor cafeteras</t>
        </is>
      </c>
      <c r="F6" s="128" t="n">
        <v>23</v>
      </c>
      <c r="G6" s="129" t="n">
        <v>90</v>
      </c>
      <c r="H6" s="112">
        <f>IF($C6="","",$F6*$G6)</f>
        <v/>
      </c>
      <c r="I6" s="100" t="inlineStr">
        <is>
          <t>Efectivo/Banco</t>
        </is>
      </c>
      <c r="J6" s="115">
        <f>IF($C6="","",IF($I6="Tarjeta Citi",CFG_CITI,0))</f>
        <v/>
      </c>
      <c r="K6" s="112">
        <f>IF($C6="","",$H6*$J6)</f>
        <v/>
      </c>
      <c r="L6" s="114">
        <f>IF($C6="","",$H6+$K6)</f>
        <v/>
      </c>
      <c r="M6" s="113">
        <f>IF(OR($C6="",N($F6)=0),"",$L6/$F6)</f>
        <v/>
      </c>
      <c r="N6" s="127" t="inlineStr">
        <is>
          <t>Compra inicial pagada en efectivo, sin recargo.</t>
        </is>
      </c>
    </row>
    <row r="7">
      <c r="B7" s="101" t="n">
        <v>46323</v>
      </c>
      <c r="C7" s="100" t="inlineStr">
        <is>
          <t>P002</t>
        </is>
      </c>
      <c r="D7" s="96">
        <f>IF($C7="","",IFERROR(INDEX(INVENTARIO!$C$7:$C$26,MATCH($C7,INVENTARIO!$B$7:$B$26,0)),"⚠ ID no existe"))</f>
        <v/>
      </c>
      <c r="E7" s="127" t="inlineStr">
        <is>
          <t>Proveedor Logitech</t>
        </is>
      </c>
      <c r="F7" s="128" t="n">
        <v>40</v>
      </c>
      <c r="G7" s="129" t="n">
        <v>42</v>
      </c>
      <c r="H7" s="112">
        <f>IF($C7="","",$F7*$G7)</f>
        <v/>
      </c>
      <c r="I7" s="100" t="inlineStr">
        <is>
          <t>Tarjeta Citi</t>
        </is>
      </c>
      <c r="J7" s="115">
        <f>IF($C7="","",IF($I7="Tarjeta Citi",CFG_CITI,0))</f>
        <v/>
      </c>
      <c r="K7" s="112">
        <f>IF($C7="","",$H7*$J7)</f>
        <v/>
      </c>
      <c r="L7" s="114">
        <f>IF($C7="","",$H7+$K7)</f>
        <v/>
      </c>
      <c r="M7" s="113">
        <f>IF(OR($C7="",N($F7)=0),"",$L7/$F7)</f>
        <v/>
      </c>
      <c r="N7" s="127" t="inlineStr">
        <is>
          <t>Compra inicial con Citi: 2.9% integrado al costo ($48.72).</t>
        </is>
      </c>
    </row>
    <row r="8">
      <c r="B8" s="101" t="n"/>
      <c r="C8" s="100" t="n"/>
      <c r="D8" s="96">
        <f>IF($C8="","",IFERROR(INDEX(INVENTARIO!$C$7:$C$26,MATCH($C8,INVENTARIO!$B$7:$B$26,0)),"⚠ ID no existe"))</f>
        <v/>
      </c>
      <c r="E8" s="127" t="n"/>
      <c r="F8" s="128" t="n"/>
      <c r="G8" s="129" t="n"/>
      <c r="H8" s="112">
        <f>IF($C8="","",$F8*$G8)</f>
        <v/>
      </c>
      <c r="I8" s="100" t="n"/>
      <c r="J8" s="115">
        <f>IF($C8="","",IF($I8="Tarjeta Citi",CFG_CITI,0))</f>
        <v/>
      </c>
      <c r="K8" s="112">
        <f>IF($C8="","",$H8*$J8)</f>
        <v/>
      </c>
      <c r="L8" s="114">
        <f>IF($C8="","",$H8+$K8)</f>
        <v/>
      </c>
      <c r="M8" s="113">
        <f>IF(OR($C8="",N($F8)=0),"",$L8/$F8)</f>
        <v/>
      </c>
      <c r="N8" s="127" t="n"/>
    </row>
    <row r="9">
      <c r="B9" s="101" t="n"/>
      <c r="C9" s="100" t="n"/>
      <c r="D9" s="96">
        <f>IF($C9="","",IFERROR(INDEX(INVENTARIO!$C$7:$C$26,MATCH($C9,INVENTARIO!$B$7:$B$26,0)),"⚠ ID no existe"))</f>
        <v/>
      </c>
      <c r="E9" s="127" t="n"/>
      <c r="F9" s="128" t="n"/>
      <c r="G9" s="129" t="n"/>
      <c r="H9" s="112">
        <f>IF($C9="","",$F9*$G9)</f>
        <v/>
      </c>
      <c r="I9" s="100" t="n"/>
      <c r="J9" s="115">
        <f>IF($C9="","",IF($I9="Tarjeta Citi",CFG_CITI,0))</f>
        <v/>
      </c>
      <c r="K9" s="112">
        <f>IF($C9="","",$H9*$J9)</f>
        <v/>
      </c>
      <c r="L9" s="114">
        <f>IF($C9="","",$H9+$K9)</f>
        <v/>
      </c>
      <c r="M9" s="113">
        <f>IF(OR($C9="",N($F9)=0),"",$L9/$F9)</f>
        <v/>
      </c>
      <c r="N9" s="127" t="n"/>
    </row>
    <row r="10">
      <c r="B10" s="101" t="n"/>
      <c r="C10" s="100" t="n"/>
      <c r="D10" s="96">
        <f>IF($C10="","",IFERROR(INDEX(INVENTARIO!$C$7:$C$26,MATCH($C10,INVENTARIO!$B$7:$B$26,0)),"⚠ ID no existe"))</f>
        <v/>
      </c>
      <c r="E10" s="127" t="n"/>
      <c r="F10" s="128" t="n"/>
      <c r="G10" s="129" t="n"/>
      <c r="H10" s="112">
        <f>IF($C10="","",$F10*$G10)</f>
        <v/>
      </c>
      <c r="I10" s="100" t="n"/>
      <c r="J10" s="115">
        <f>IF($C10="","",IF($I10="Tarjeta Citi",CFG_CITI,0))</f>
        <v/>
      </c>
      <c r="K10" s="112">
        <f>IF($C10="","",$H10*$J10)</f>
        <v/>
      </c>
      <c r="L10" s="114">
        <f>IF($C10="","",$H10+$K10)</f>
        <v/>
      </c>
      <c r="M10" s="113">
        <f>IF(OR($C10="",N($F10)=0),"",$L10/$F10)</f>
        <v/>
      </c>
      <c r="N10" s="127" t="n"/>
    </row>
    <row r="11">
      <c r="B11" s="101" t="n"/>
      <c r="C11" s="100" t="n"/>
      <c r="D11" s="96">
        <f>IF($C11="","",IFERROR(INDEX(INVENTARIO!$C$7:$C$26,MATCH($C11,INVENTARIO!$B$7:$B$26,0)),"⚠ ID no existe"))</f>
        <v/>
      </c>
      <c r="E11" s="127" t="n"/>
      <c r="F11" s="128" t="n"/>
      <c r="G11" s="129" t="n"/>
      <c r="H11" s="112">
        <f>IF($C11="","",$F11*$G11)</f>
        <v/>
      </c>
      <c r="I11" s="100" t="n"/>
      <c r="J11" s="115">
        <f>IF($C11="","",IF($I11="Tarjeta Citi",CFG_CITI,0))</f>
        <v/>
      </c>
      <c r="K11" s="112">
        <f>IF($C11="","",$H11*$J11)</f>
        <v/>
      </c>
      <c r="L11" s="114">
        <f>IF($C11="","",$H11+$K11)</f>
        <v/>
      </c>
      <c r="M11" s="113">
        <f>IF(OR($C11="",N($F11)=0),"",$L11/$F11)</f>
        <v/>
      </c>
      <c r="N11" s="127" t="n"/>
    </row>
    <row r="12">
      <c r="B12" s="101" t="n"/>
      <c r="C12" s="100" t="n"/>
      <c r="D12" s="96">
        <f>IF($C12="","",IFERROR(INDEX(INVENTARIO!$C$7:$C$26,MATCH($C12,INVENTARIO!$B$7:$B$26,0)),"⚠ ID no existe"))</f>
        <v/>
      </c>
      <c r="E12" s="127" t="n"/>
      <c r="F12" s="128" t="n"/>
      <c r="G12" s="129" t="n"/>
      <c r="H12" s="112">
        <f>IF($C12="","",$F12*$G12)</f>
        <v/>
      </c>
      <c r="I12" s="100" t="n"/>
      <c r="J12" s="115">
        <f>IF($C12="","",IF($I12="Tarjeta Citi",CFG_CITI,0))</f>
        <v/>
      </c>
      <c r="K12" s="112">
        <f>IF($C12="","",$H12*$J12)</f>
        <v/>
      </c>
      <c r="L12" s="114">
        <f>IF($C12="","",$H12+$K12)</f>
        <v/>
      </c>
      <c r="M12" s="113">
        <f>IF(OR($C12="",N($F12)=0),"",$L12/$F12)</f>
        <v/>
      </c>
      <c r="N12" s="127" t="n"/>
    </row>
    <row r="13">
      <c r="B13" s="101" t="n"/>
      <c r="C13" s="100" t="n"/>
      <c r="D13" s="96">
        <f>IF($C13="","",IFERROR(INDEX(INVENTARIO!$C$7:$C$26,MATCH($C13,INVENTARIO!$B$7:$B$26,0)),"⚠ ID no existe"))</f>
        <v/>
      </c>
      <c r="E13" s="127" t="n"/>
      <c r="F13" s="128" t="n"/>
      <c r="G13" s="129" t="n"/>
      <c r="H13" s="112">
        <f>IF($C13="","",$F13*$G13)</f>
        <v/>
      </c>
      <c r="I13" s="100" t="n"/>
      <c r="J13" s="115">
        <f>IF($C13="","",IF($I13="Tarjeta Citi",CFG_CITI,0))</f>
        <v/>
      </c>
      <c r="K13" s="112">
        <f>IF($C13="","",$H13*$J13)</f>
        <v/>
      </c>
      <c r="L13" s="114">
        <f>IF($C13="","",$H13+$K13)</f>
        <v/>
      </c>
      <c r="M13" s="113">
        <f>IF(OR($C13="",N($F13)=0),"",$L13/$F13)</f>
        <v/>
      </c>
      <c r="N13" s="127" t="n"/>
    </row>
    <row r="14">
      <c r="B14" s="101" t="n"/>
      <c r="C14" s="100" t="n"/>
      <c r="D14" s="96">
        <f>IF($C14="","",IFERROR(INDEX(INVENTARIO!$C$7:$C$26,MATCH($C14,INVENTARIO!$B$7:$B$26,0)),"⚠ ID no existe"))</f>
        <v/>
      </c>
      <c r="E14" s="127" t="n"/>
      <c r="F14" s="128" t="n"/>
      <c r="G14" s="129" t="n"/>
      <c r="H14" s="112">
        <f>IF($C14="","",$F14*$G14)</f>
        <v/>
      </c>
      <c r="I14" s="100" t="n"/>
      <c r="J14" s="115">
        <f>IF($C14="","",IF($I14="Tarjeta Citi",CFG_CITI,0))</f>
        <v/>
      </c>
      <c r="K14" s="112">
        <f>IF($C14="","",$H14*$J14)</f>
        <v/>
      </c>
      <c r="L14" s="114">
        <f>IF($C14="","",$H14+$K14)</f>
        <v/>
      </c>
      <c r="M14" s="113">
        <f>IF(OR($C14="",N($F14)=0),"",$L14/$F14)</f>
        <v/>
      </c>
      <c r="N14" s="127" t="n"/>
    </row>
    <row r="15">
      <c r="B15" s="101" t="n"/>
      <c r="C15" s="100" t="n"/>
      <c r="D15" s="96">
        <f>IF($C15="","",IFERROR(INDEX(INVENTARIO!$C$7:$C$26,MATCH($C15,INVENTARIO!$B$7:$B$26,0)),"⚠ ID no existe"))</f>
        <v/>
      </c>
      <c r="E15" s="127" t="n"/>
      <c r="F15" s="128" t="n"/>
      <c r="G15" s="129" t="n"/>
      <c r="H15" s="112">
        <f>IF($C15="","",$F15*$G15)</f>
        <v/>
      </c>
      <c r="I15" s="100" t="n"/>
      <c r="J15" s="115">
        <f>IF($C15="","",IF($I15="Tarjeta Citi",CFG_CITI,0))</f>
        <v/>
      </c>
      <c r="K15" s="112">
        <f>IF($C15="","",$H15*$J15)</f>
        <v/>
      </c>
      <c r="L15" s="114">
        <f>IF($C15="","",$H15+$K15)</f>
        <v/>
      </c>
      <c r="M15" s="113">
        <f>IF(OR($C15="",N($F15)=0),"",$L15/$F15)</f>
        <v/>
      </c>
      <c r="N15" s="127" t="n"/>
    </row>
    <row r="16">
      <c r="B16" s="101" t="n"/>
      <c r="C16" s="100" t="n"/>
      <c r="D16" s="96">
        <f>IF($C16="","",IFERROR(INDEX(INVENTARIO!$C$7:$C$26,MATCH($C16,INVENTARIO!$B$7:$B$26,0)),"⚠ ID no existe"))</f>
        <v/>
      </c>
      <c r="E16" s="127" t="n"/>
      <c r="F16" s="128" t="n"/>
      <c r="G16" s="129" t="n"/>
      <c r="H16" s="112">
        <f>IF($C16="","",$F16*$G16)</f>
        <v/>
      </c>
      <c r="I16" s="100" t="n"/>
      <c r="J16" s="115">
        <f>IF($C16="","",IF($I16="Tarjeta Citi",CFG_CITI,0))</f>
        <v/>
      </c>
      <c r="K16" s="112">
        <f>IF($C16="","",$H16*$J16)</f>
        <v/>
      </c>
      <c r="L16" s="114">
        <f>IF($C16="","",$H16+$K16)</f>
        <v/>
      </c>
      <c r="M16" s="113">
        <f>IF(OR($C16="",N($F16)=0),"",$L16/$F16)</f>
        <v/>
      </c>
      <c r="N16" s="127" t="n"/>
    </row>
    <row r="17">
      <c r="B17" s="101" t="n"/>
      <c r="C17" s="100" t="n"/>
      <c r="D17" s="96">
        <f>IF($C17="","",IFERROR(INDEX(INVENTARIO!$C$7:$C$26,MATCH($C17,INVENTARIO!$B$7:$B$26,0)),"⚠ ID no existe"))</f>
        <v/>
      </c>
      <c r="E17" s="127" t="n"/>
      <c r="F17" s="128" t="n"/>
      <c r="G17" s="129" t="n"/>
      <c r="H17" s="112">
        <f>IF($C17="","",$F17*$G17)</f>
        <v/>
      </c>
      <c r="I17" s="100" t="n"/>
      <c r="J17" s="115">
        <f>IF($C17="","",IF($I17="Tarjeta Citi",CFG_CITI,0))</f>
        <v/>
      </c>
      <c r="K17" s="112">
        <f>IF($C17="","",$H17*$J17)</f>
        <v/>
      </c>
      <c r="L17" s="114">
        <f>IF($C17="","",$H17+$K17)</f>
        <v/>
      </c>
      <c r="M17" s="113">
        <f>IF(OR($C17="",N($F17)=0),"",$L17/$F17)</f>
        <v/>
      </c>
      <c r="N17" s="127" t="n"/>
    </row>
    <row r="18">
      <c r="B18" s="101" t="n"/>
      <c r="C18" s="100" t="n"/>
      <c r="D18" s="96">
        <f>IF($C18="","",IFERROR(INDEX(INVENTARIO!$C$7:$C$26,MATCH($C18,INVENTARIO!$B$7:$B$26,0)),"⚠ ID no existe"))</f>
        <v/>
      </c>
      <c r="E18" s="127" t="n"/>
      <c r="F18" s="128" t="n"/>
      <c r="G18" s="129" t="n"/>
      <c r="H18" s="112">
        <f>IF($C18="","",$F18*$G18)</f>
        <v/>
      </c>
      <c r="I18" s="100" t="n"/>
      <c r="J18" s="115">
        <f>IF($C18="","",IF($I18="Tarjeta Citi",CFG_CITI,0))</f>
        <v/>
      </c>
      <c r="K18" s="112">
        <f>IF($C18="","",$H18*$J18)</f>
        <v/>
      </c>
      <c r="L18" s="114">
        <f>IF($C18="","",$H18+$K18)</f>
        <v/>
      </c>
      <c r="M18" s="113">
        <f>IF(OR($C18="",N($F18)=0),"",$L18/$F18)</f>
        <v/>
      </c>
      <c r="N18" s="127" t="n"/>
    </row>
    <row r="19">
      <c r="B19" s="101" t="n"/>
      <c r="C19" s="100" t="n"/>
      <c r="D19" s="96">
        <f>IF($C19="","",IFERROR(INDEX(INVENTARIO!$C$7:$C$26,MATCH($C19,INVENTARIO!$B$7:$B$26,0)),"⚠ ID no existe"))</f>
        <v/>
      </c>
      <c r="E19" s="127" t="n"/>
      <c r="F19" s="128" t="n"/>
      <c r="G19" s="129" t="n"/>
      <c r="H19" s="112">
        <f>IF($C19="","",$F19*$G19)</f>
        <v/>
      </c>
      <c r="I19" s="100" t="n"/>
      <c r="J19" s="115">
        <f>IF($C19="","",IF($I19="Tarjeta Citi",CFG_CITI,0))</f>
        <v/>
      </c>
      <c r="K19" s="112">
        <f>IF($C19="","",$H19*$J19)</f>
        <v/>
      </c>
      <c r="L19" s="114">
        <f>IF($C19="","",$H19+$K19)</f>
        <v/>
      </c>
      <c r="M19" s="113">
        <f>IF(OR($C19="",N($F19)=0),"",$L19/$F19)</f>
        <v/>
      </c>
      <c r="N19" s="127" t="n"/>
    </row>
    <row r="20">
      <c r="B20" s="101" t="n"/>
      <c r="C20" s="100" t="n"/>
      <c r="D20" s="96">
        <f>IF($C20="","",IFERROR(INDEX(INVENTARIO!$C$7:$C$26,MATCH($C20,INVENTARIO!$B$7:$B$26,0)),"⚠ ID no existe"))</f>
        <v/>
      </c>
      <c r="E20" s="127" t="n"/>
      <c r="F20" s="128" t="n"/>
      <c r="G20" s="129" t="n"/>
      <c r="H20" s="112">
        <f>IF($C20="","",$F20*$G20)</f>
        <v/>
      </c>
      <c r="I20" s="100" t="n"/>
      <c r="J20" s="115">
        <f>IF($C20="","",IF($I20="Tarjeta Citi",CFG_CITI,0))</f>
        <v/>
      </c>
      <c r="K20" s="112">
        <f>IF($C20="","",$H20*$J20)</f>
        <v/>
      </c>
      <c r="L20" s="114">
        <f>IF($C20="","",$H20+$K20)</f>
        <v/>
      </c>
      <c r="M20" s="113">
        <f>IF(OR($C20="",N($F20)=0),"",$L20/$F20)</f>
        <v/>
      </c>
      <c r="N20" s="127" t="n"/>
    </row>
    <row r="21">
      <c r="B21" s="101" t="n"/>
      <c r="C21" s="100" t="n"/>
      <c r="D21" s="96">
        <f>IF($C21="","",IFERROR(INDEX(INVENTARIO!$C$7:$C$26,MATCH($C21,INVENTARIO!$B$7:$B$26,0)),"⚠ ID no existe"))</f>
        <v/>
      </c>
      <c r="E21" s="127" t="n"/>
      <c r="F21" s="128" t="n"/>
      <c r="G21" s="129" t="n"/>
      <c r="H21" s="112">
        <f>IF($C21="","",$F21*$G21)</f>
        <v/>
      </c>
      <c r="I21" s="100" t="n"/>
      <c r="J21" s="115">
        <f>IF($C21="","",IF($I21="Tarjeta Citi",CFG_CITI,0))</f>
        <v/>
      </c>
      <c r="K21" s="112">
        <f>IF($C21="","",$H21*$J21)</f>
        <v/>
      </c>
      <c r="L21" s="114">
        <f>IF($C21="","",$H21+$K21)</f>
        <v/>
      </c>
      <c r="M21" s="113">
        <f>IF(OR($C21="",N($F21)=0),"",$L21/$F21)</f>
        <v/>
      </c>
      <c r="N21" s="127" t="n"/>
    </row>
    <row r="22">
      <c r="B22" s="101" t="n"/>
      <c r="C22" s="100" t="n"/>
      <c r="D22" s="96">
        <f>IF($C22="","",IFERROR(INDEX(INVENTARIO!$C$7:$C$26,MATCH($C22,INVENTARIO!$B$7:$B$26,0)),"⚠ ID no existe"))</f>
        <v/>
      </c>
      <c r="E22" s="127" t="n"/>
      <c r="F22" s="128" t="n"/>
      <c r="G22" s="129" t="n"/>
      <c r="H22" s="112">
        <f>IF($C22="","",$F22*$G22)</f>
        <v/>
      </c>
      <c r="I22" s="100" t="n"/>
      <c r="J22" s="115">
        <f>IF($C22="","",IF($I22="Tarjeta Citi",CFG_CITI,0))</f>
        <v/>
      </c>
      <c r="K22" s="112">
        <f>IF($C22="","",$H22*$J22)</f>
        <v/>
      </c>
      <c r="L22" s="114">
        <f>IF($C22="","",$H22+$K22)</f>
        <v/>
      </c>
      <c r="M22" s="113">
        <f>IF(OR($C22="",N($F22)=0),"",$L22/$F22)</f>
        <v/>
      </c>
      <c r="N22" s="127" t="n"/>
    </row>
    <row r="23">
      <c r="B23" s="101" t="n"/>
      <c r="C23" s="100" t="n"/>
      <c r="D23" s="96">
        <f>IF($C23="","",IFERROR(INDEX(INVENTARIO!$C$7:$C$26,MATCH($C23,INVENTARIO!$B$7:$B$26,0)),"⚠ ID no existe"))</f>
        <v/>
      </c>
      <c r="E23" s="127" t="n"/>
      <c r="F23" s="128" t="n"/>
      <c r="G23" s="129" t="n"/>
      <c r="H23" s="112">
        <f>IF($C23="","",$F23*$G23)</f>
        <v/>
      </c>
      <c r="I23" s="100" t="n"/>
      <c r="J23" s="115">
        <f>IF($C23="","",IF($I23="Tarjeta Citi",CFG_CITI,0))</f>
        <v/>
      </c>
      <c r="K23" s="112">
        <f>IF($C23="","",$H23*$J23)</f>
        <v/>
      </c>
      <c r="L23" s="114">
        <f>IF($C23="","",$H23+$K23)</f>
        <v/>
      </c>
      <c r="M23" s="113">
        <f>IF(OR($C23="",N($F23)=0),"",$L23/$F23)</f>
        <v/>
      </c>
      <c r="N23" s="127" t="n"/>
    </row>
    <row r="24">
      <c r="B24" s="101" t="n"/>
      <c r="C24" s="100" t="n"/>
      <c r="D24" s="96">
        <f>IF($C24="","",IFERROR(INDEX(INVENTARIO!$C$7:$C$26,MATCH($C24,INVENTARIO!$B$7:$B$26,0)),"⚠ ID no existe"))</f>
        <v/>
      </c>
      <c r="E24" s="127" t="n"/>
      <c r="F24" s="128" t="n"/>
      <c r="G24" s="129" t="n"/>
      <c r="H24" s="112">
        <f>IF($C24="","",$F24*$G24)</f>
        <v/>
      </c>
      <c r="I24" s="100" t="n"/>
      <c r="J24" s="115">
        <f>IF($C24="","",IF($I24="Tarjeta Citi",CFG_CITI,0))</f>
        <v/>
      </c>
      <c r="K24" s="112">
        <f>IF($C24="","",$H24*$J24)</f>
        <v/>
      </c>
      <c r="L24" s="114">
        <f>IF($C24="","",$H24+$K24)</f>
        <v/>
      </c>
      <c r="M24" s="113">
        <f>IF(OR($C24="",N($F24)=0),"",$L24/$F24)</f>
        <v/>
      </c>
      <c r="N24" s="127" t="n"/>
    </row>
    <row r="25">
      <c r="B25" s="101" t="n"/>
      <c r="C25" s="100" t="n"/>
      <c r="D25" s="96">
        <f>IF($C25="","",IFERROR(INDEX(INVENTARIO!$C$7:$C$26,MATCH($C25,INVENTARIO!$B$7:$B$26,0)),"⚠ ID no existe"))</f>
        <v/>
      </c>
      <c r="E25" s="127" t="n"/>
      <c r="F25" s="128" t="n"/>
      <c r="G25" s="129" t="n"/>
      <c r="H25" s="112">
        <f>IF($C25="","",$F25*$G25)</f>
        <v/>
      </c>
      <c r="I25" s="100" t="n"/>
      <c r="J25" s="115">
        <f>IF($C25="","",IF($I25="Tarjeta Citi",CFG_CITI,0))</f>
        <v/>
      </c>
      <c r="K25" s="112">
        <f>IF($C25="","",$H25*$J25)</f>
        <v/>
      </c>
      <c r="L25" s="114">
        <f>IF($C25="","",$H25+$K25)</f>
        <v/>
      </c>
      <c r="M25" s="113">
        <f>IF(OR($C25="",N($F25)=0),"",$L25/$F25)</f>
        <v/>
      </c>
      <c r="N25" s="127" t="n"/>
    </row>
    <row r="26">
      <c r="B26" s="101" t="n"/>
      <c r="C26" s="100" t="n"/>
      <c r="D26" s="96">
        <f>IF($C26="","",IFERROR(INDEX(INVENTARIO!$C$7:$C$26,MATCH($C26,INVENTARIO!$B$7:$B$26,0)),"⚠ ID no existe"))</f>
        <v/>
      </c>
      <c r="E26" s="127" t="n"/>
      <c r="F26" s="128" t="n"/>
      <c r="G26" s="129" t="n"/>
      <c r="H26" s="112">
        <f>IF($C26="","",$F26*$G26)</f>
        <v/>
      </c>
      <c r="I26" s="100" t="n"/>
      <c r="J26" s="115">
        <f>IF($C26="","",IF($I26="Tarjeta Citi",CFG_CITI,0))</f>
        <v/>
      </c>
      <c r="K26" s="112">
        <f>IF($C26="","",$H26*$J26)</f>
        <v/>
      </c>
      <c r="L26" s="114">
        <f>IF($C26="","",$H26+$K26)</f>
        <v/>
      </c>
      <c r="M26" s="113">
        <f>IF(OR($C26="",N($F26)=0),"",$L26/$F26)</f>
        <v/>
      </c>
      <c r="N26" s="127" t="n"/>
    </row>
    <row r="27">
      <c r="B27" s="101" t="n"/>
      <c r="C27" s="100" t="n"/>
      <c r="D27" s="96">
        <f>IF($C27="","",IFERROR(INDEX(INVENTARIO!$C$7:$C$26,MATCH($C27,INVENTARIO!$B$7:$B$26,0)),"⚠ ID no existe"))</f>
        <v/>
      </c>
      <c r="E27" s="127" t="n"/>
      <c r="F27" s="128" t="n"/>
      <c r="G27" s="129" t="n"/>
      <c r="H27" s="112">
        <f>IF($C27="","",$F27*$G27)</f>
        <v/>
      </c>
      <c r="I27" s="100" t="n"/>
      <c r="J27" s="115">
        <f>IF($C27="","",IF($I27="Tarjeta Citi",CFG_CITI,0))</f>
        <v/>
      </c>
      <c r="K27" s="112">
        <f>IF($C27="","",$H27*$J27)</f>
        <v/>
      </c>
      <c r="L27" s="114">
        <f>IF($C27="","",$H27+$K27)</f>
        <v/>
      </c>
      <c r="M27" s="113">
        <f>IF(OR($C27="",N($F27)=0),"",$L27/$F27)</f>
        <v/>
      </c>
      <c r="N27" s="127" t="n"/>
    </row>
    <row r="28">
      <c r="B28" s="101" t="n"/>
      <c r="C28" s="100" t="n"/>
      <c r="D28" s="96">
        <f>IF($C28="","",IFERROR(INDEX(INVENTARIO!$C$7:$C$26,MATCH($C28,INVENTARIO!$B$7:$B$26,0)),"⚠ ID no existe"))</f>
        <v/>
      </c>
      <c r="E28" s="127" t="n"/>
      <c r="F28" s="128" t="n"/>
      <c r="G28" s="129" t="n"/>
      <c r="H28" s="112">
        <f>IF($C28="","",$F28*$G28)</f>
        <v/>
      </c>
      <c r="I28" s="100" t="n"/>
      <c r="J28" s="115">
        <f>IF($C28="","",IF($I28="Tarjeta Citi",CFG_CITI,0))</f>
        <v/>
      </c>
      <c r="K28" s="112">
        <f>IF($C28="","",$H28*$J28)</f>
        <v/>
      </c>
      <c r="L28" s="114">
        <f>IF($C28="","",$H28+$K28)</f>
        <v/>
      </c>
      <c r="M28" s="113">
        <f>IF(OR($C28="",N($F28)=0),"",$L28/$F28)</f>
        <v/>
      </c>
      <c r="N28" s="127" t="n"/>
    </row>
    <row r="29">
      <c r="B29" s="101" t="n"/>
      <c r="C29" s="100" t="n"/>
      <c r="D29" s="96">
        <f>IF($C29="","",IFERROR(INDEX(INVENTARIO!$C$7:$C$26,MATCH($C29,INVENTARIO!$B$7:$B$26,0)),"⚠ ID no existe"))</f>
        <v/>
      </c>
      <c r="E29" s="127" t="n"/>
      <c r="F29" s="128" t="n"/>
      <c r="G29" s="129" t="n"/>
      <c r="H29" s="112">
        <f>IF($C29="","",$F29*$G29)</f>
        <v/>
      </c>
      <c r="I29" s="100" t="n"/>
      <c r="J29" s="115">
        <f>IF($C29="","",IF($I29="Tarjeta Citi",CFG_CITI,0))</f>
        <v/>
      </c>
      <c r="K29" s="112">
        <f>IF($C29="","",$H29*$J29)</f>
        <v/>
      </c>
      <c r="L29" s="114">
        <f>IF($C29="","",$H29+$K29)</f>
        <v/>
      </c>
      <c r="M29" s="113">
        <f>IF(OR($C29="",N($F29)=0),"",$L29/$F29)</f>
        <v/>
      </c>
      <c r="N29" s="127" t="n"/>
    </row>
    <row r="30">
      <c r="B30" s="101" t="n"/>
      <c r="C30" s="100" t="n"/>
      <c r="D30" s="96">
        <f>IF($C30="","",IFERROR(INDEX(INVENTARIO!$C$7:$C$26,MATCH($C30,INVENTARIO!$B$7:$B$26,0)),"⚠ ID no existe"))</f>
        <v/>
      </c>
      <c r="E30" s="127" t="n"/>
      <c r="F30" s="128" t="n"/>
      <c r="G30" s="129" t="n"/>
      <c r="H30" s="112">
        <f>IF($C30="","",$F30*$G30)</f>
        <v/>
      </c>
      <c r="I30" s="100" t="n"/>
      <c r="J30" s="115">
        <f>IF($C30="","",IF($I30="Tarjeta Citi",CFG_CITI,0))</f>
        <v/>
      </c>
      <c r="K30" s="112">
        <f>IF($C30="","",$H30*$J30)</f>
        <v/>
      </c>
      <c r="L30" s="114">
        <f>IF($C30="","",$H30+$K30)</f>
        <v/>
      </c>
      <c r="M30" s="113">
        <f>IF(OR($C30="",N($F30)=0),"",$L30/$F30)</f>
        <v/>
      </c>
      <c r="N30" s="127" t="n"/>
    </row>
    <row r="31">
      <c r="B31" s="101" t="n"/>
      <c r="C31" s="100" t="n"/>
      <c r="D31" s="96">
        <f>IF($C31="","",IFERROR(INDEX(INVENTARIO!$C$7:$C$26,MATCH($C31,INVENTARIO!$B$7:$B$26,0)),"⚠ ID no existe"))</f>
        <v/>
      </c>
      <c r="E31" s="127" t="n"/>
      <c r="F31" s="128" t="n"/>
      <c r="G31" s="129" t="n"/>
      <c r="H31" s="112">
        <f>IF($C31="","",$F31*$G31)</f>
        <v/>
      </c>
      <c r="I31" s="100" t="n"/>
      <c r="J31" s="115">
        <f>IF($C31="","",IF($I31="Tarjeta Citi",CFG_CITI,0))</f>
        <v/>
      </c>
      <c r="K31" s="112">
        <f>IF($C31="","",$H31*$J31)</f>
        <v/>
      </c>
      <c r="L31" s="114">
        <f>IF($C31="","",$H31+$K31)</f>
        <v/>
      </c>
      <c r="M31" s="113">
        <f>IF(OR($C31="",N($F31)=0),"",$L31/$F31)</f>
        <v/>
      </c>
      <c r="N31" s="127" t="n"/>
    </row>
    <row r="32">
      <c r="B32" s="101" t="n"/>
      <c r="C32" s="100" t="n"/>
      <c r="D32" s="96">
        <f>IF($C32="","",IFERROR(INDEX(INVENTARIO!$C$7:$C$26,MATCH($C32,INVENTARIO!$B$7:$B$26,0)),"⚠ ID no existe"))</f>
        <v/>
      </c>
      <c r="E32" s="127" t="n"/>
      <c r="F32" s="128" t="n"/>
      <c r="G32" s="129" t="n"/>
      <c r="H32" s="112">
        <f>IF($C32="","",$F32*$G32)</f>
        <v/>
      </c>
      <c r="I32" s="100" t="n"/>
      <c r="J32" s="115">
        <f>IF($C32="","",IF($I32="Tarjeta Citi",CFG_CITI,0))</f>
        <v/>
      </c>
      <c r="K32" s="112">
        <f>IF($C32="","",$H32*$J32)</f>
        <v/>
      </c>
      <c r="L32" s="114">
        <f>IF($C32="","",$H32+$K32)</f>
        <v/>
      </c>
      <c r="M32" s="113">
        <f>IF(OR($C32="",N($F32)=0),"",$L32/$F32)</f>
        <v/>
      </c>
      <c r="N32" s="127" t="n"/>
    </row>
    <row r="33">
      <c r="B33" s="101" t="n"/>
      <c r="C33" s="100" t="n"/>
      <c r="D33" s="96">
        <f>IF($C33="","",IFERROR(INDEX(INVENTARIO!$C$7:$C$26,MATCH($C33,INVENTARIO!$B$7:$B$26,0)),"⚠ ID no existe"))</f>
        <v/>
      </c>
      <c r="E33" s="127" t="n"/>
      <c r="F33" s="128" t="n"/>
      <c r="G33" s="129" t="n"/>
      <c r="H33" s="112">
        <f>IF($C33="","",$F33*$G33)</f>
        <v/>
      </c>
      <c r="I33" s="100" t="n"/>
      <c r="J33" s="115">
        <f>IF($C33="","",IF($I33="Tarjeta Citi",CFG_CITI,0))</f>
        <v/>
      </c>
      <c r="K33" s="112">
        <f>IF($C33="","",$H33*$J33)</f>
        <v/>
      </c>
      <c r="L33" s="114">
        <f>IF($C33="","",$H33+$K33)</f>
        <v/>
      </c>
      <c r="M33" s="113">
        <f>IF(OR($C33="",N($F33)=0),"",$L33/$F33)</f>
        <v/>
      </c>
      <c r="N33" s="127" t="n"/>
    </row>
    <row r="34">
      <c r="B34" s="101" t="n"/>
      <c r="C34" s="100" t="n"/>
      <c r="D34" s="96">
        <f>IF($C34="","",IFERROR(INDEX(INVENTARIO!$C$7:$C$26,MATCH($C34,INVENTARIO!$B$7:$B$26,0)),"⚠ ID no existe"))</f>
        <v/>
      </c>
      <c r="E34" s="127" t="n"/>
      <c r="F34" s="128" t="n"/>
      <c r="G34" s="129" t="n"/>
      <c r="H34" s="112">
        <f>IF($C34="","",$F34*$G34)</f>
        <v/>
      </c>
      <c r="I34" s="100" t="n"/>
      <c r="J34" s="115">
        <f>IF($C34="","",IF($I34="Tarjeta Citi",CFG_CITI,0))</f>
        <v/>
      </c>
      <c r="K34" s="112">
        <f>IF($C34="","",$H34*$J34)</f>
        <v/>
      </c>
      <c r="L34" s="114">
        <f>IF($C34="","",$H34+$K34)</f>
        <v/>
      </c>
      <c r="M34" s="113">
        <f>IF(OR($C34="",N($F34)=0),"",$L34/$F34)</f>
        <v/>
      </c>
      <c r="N34" s="127" t="n"/>
    </row>
    <row r="35">
      <c r="B35" s="101" t="n"/>
      <c r="C35" s="100" t="n"/>
      <c r="D35" s="96">
        <f>IF($C35="","",IFERROR(INDEX(INVENTARIO!$C$7:$C$26,MATCH($C35,INVENTARIO!$B$7:$B$26,0)),"⚠ ID no existe"))</f>
        <v/>
      </c>
      <c r="E35" s="127" t="n"/>
      <c r="F35" s="128" t="n"/>
      <c r="G35" s="129" t="n"/>
      <c r="H35" s="112">
        <f>IF($C35="","",$F35*$G35)</f>
        <v/>
      </c>
      <c r="I35" s="100" t="n"/>
      <c r="J35" s="115">
        <f>IF($C35="","",IF($I35="Tarjeta Citi",CFG_CITI,0))</f>
        <v/>
      </c>
      <c r="K35" s="112">
        <f>IF($C35="","",$H35*$J35)</f>
        <v/>
      </c>
      <c r="L35" s="114">
        <f>IF($C35="","",$H35+$K35)</f>
        <v/>
      </c>
      <c r="M35" s="113">
        <f>IF(OR($C35="",N($F35)=0),"",$L35/$F35)</f>
        <v/>
      </c>
      <c r="N35" s="127" t="n"/>
    </row>
    <row r="36">
      <c r="B36" s="101" t="n"/>
      <c r="C36" s="100" t="n"/>
      <c r="D36" s="96">
        <f>IF($C36="","",IFERROR(INDEX(INVENTARIO!$C$7:$C$26,MATCH($C36,INVENTARIO!$B$7:$B$26,0)),"⚠ ID no existe"))</f>
        <v/>
      </c>
      <c r="E36" s="127" t="n"/>
      <c r="F36" s="128" t="n"/>
      <c r="G36" s="129" t="n"/>
      <c r="H36" s="112">
        <f>IF($C36="","",$F36*$G36)</f>
        <v/>
      </c>
      <c r="I36" s="100" t="n"/>
      <c r="J36" s="115">
        <f>IF($C36="","",IF($I36="Tarjeta Citi",CFG_CITI,0))</f>
        <v/>
      </c>
      <c r="K36" s="112">
        <f>IF($C36="","",$H36*$J36)</f>
        <v/>
      </c>
      <c r="L36" s="114">
        <f>IF($C36="","",$H36+$K36)</f>
        <v/>
      </c>
      <c r="M36" s="113">
        <f>IF(OR($C36="",N($F36)=0),"",$L36/$F36)</f>
        <v/>
      </c>
      <c r="N36" s="127" t="n"/>
    </row>
    <row r="37">
      <c r="B37" s="101" t="n"/>
      <c r="C37" s="100" t="n"/>
      <c r="D37" s="96">
        <f>IF($C37="","",IFERROR(INDEX(INVENTARIO!$C$7:$C$26,MATCH($C37,INVENTARIO!$B$7:$B$26,0)),"⚠ ID no existe"))</f>
        <v/>
      </c>
      <c r="E37" s="127" t="n"/>
      <c r="F37" s="128" t="n"/>
      <c r="G37" s="129" t="n"/>
      <c r="H37" s="112">
        <f>IF($C37="","",$F37*$G37)</f>
        <v/>
      </c>
      <c r="I37" s="100" t="n"/>
      <c r="J37" s="115">
        <f>IF($C37="","",IF($I37="Tarjeta Citi",CFG_CITI,0))</f>
        <v/>
      </c>
      <c r="K37" s="112">
        <f>IF($C37="","",$H37*$J37)</f>
        <v/>
      </c>
      <c r="L37" s="114">
        <f>IF($C37="","",$H37+$K37)</f>
        <v/>
      </c>
      <c r="M37" s="113">
        <f>IF(OR($C37="",N($F37)=0),"",$L37/$F37)</f>
        <v/>
      </c>
      <c r="N37" s="127" t="n"/>
    </row>
    <row r="38">
      <c r="B38" s="101" t="n"/>
      <c r="C38" s="100" t="n"/>
      <c r="D38" s="96">
        <f>IF($C38="","",IFERROR(INDEX(INVENTARIO!$C$7:$C$26,MATCH($C38,INVENTARIO!$B$7:$B$26,0)),"⚠ ID no existe"))</f>
        <v/>
      </c>
      <c r="E38" s="127" t="n"/>
      <c r="F38" s="128" t="n"/>
      <c r="G38" s="129" t="n"/>
      <c r="H38" s="112">
        <f>IF($C38="","",$F38*$G38)</f>
        <v/>
      </c>
      <c r="I38" s="100" t="n"/>
      <c r="J38" s="115">
        <f>IF($C38="","",IF($I38="Tarjeta Citi",CFG_CITI,0))</f>
        <v/>
      </c>
      <c r="K38" s="112">
        <f>IF($C38="","",$H38*$J38)</f>
        <v/>
      </c>
      <c r="L38" s="114">
        <f>IF($C38="","",$H38+$K38)</f>
        <v/>
      </c>
      <c r="M38" s="113">
        <f>IF(OR($C38="",N($F38)=0),"",$L38/$F38)</f>
        <v/>
      </c>
      <c r="N38" s="127" t="n"/>
    </row>
    <row r="39">
      <c r="B39" s="101" t="n"/>
      <c r="C39" s="100" t="n"/>
      <c r="D39" s="96">
        <f>IF($C39="","",IFERROR(INDEX(INVENTARIO!$C$7:$C$26,MATCH($C39,INVENTARIO!$B$7:$B$26,0)),"⚠ ID no existe"))</f>
        <v/>
      </c>
      <c r="E39" s="127" t="n"/>
      <c r="F39" s="128" t="n"/>
      <c r="G39" s="129" t="n"/>
      <c r="H39" s="112">
        <f>IF($C39="","",$F39*$G39)</f>
        <v/>
      </c>
      <c r="I39" s="100" t="n"/>
      <c r="J39" s="115">
        <f>IF($C39="","",IF($I39="Tarjeta Citi",CFG_CITI,0))</f>
        <v/>
      </c>
      <c r="K39" s="112">
        <f>IF($C39="","",$H39*$J39)</f>
        <v/>
      </c>
      <c r="L39" s="114">
        <f>IF($C39="","",$H39+$K39)</f>
        <v/>
      </c>
      <c r="M39" s="113">
        <f>IF(OR($C39="",N($F39)=0),"",$L39/$F39)</f>
        <v/>
      </c>
      <c r="N39" s="127" t="n"/>
    </row>
    <row r="40">
      <c r="B40" s="101" t="n"/>
      <c r="C40" s="100" t="n"/>
      <c r="D40" s="96">
        <f>IF($C40="","",IFERROR(INDEX(INVENTARIO!$C$7:$C$26,MATCH($C40,INVENTARIO!$B$7:$B$26,0)),"⚠ ID no existe"))</f>
        <v/>
      </c>
      <c r="E40" s="127" t="n"/>
      <c r="F40" s="128" t="n"/>
      <c r="G40" s="129" t="n"/>
      <c r="H40" s="112">
        <f>IF($C40="","",$F40*$G40)</f>
        <v/>
      </c>
      <c r="I40" s="100" t="n"/>
      <c r="J40" s="115">
        <f>IF($C40="","",IF($I40="Tarjeta Citi",CFG_CITI,0))</f>
        <v/>
      </c>
      <c r="K40" s="112">
        <f>IF($C40="","",$H40*$J40)</f>
        <v/>
      </c>
      <c r="L40" s="114">
        <f>IF($C40="","",$H40+$K40)</f>
        <v/>
      </c>
      <c r="M40" s="113">
        <f>IF(OR($C40="",N($F40)=0),"",$L40/$F40)</f>
        <v/>
      </c>
      <c r="N40" s="127" t="n"/>
    </row>
    <row r="41">
      <c r="B41" s="101" t="n"/>
      <c r="C41" s="100" t="n"/>
      <c r="D41" s="96">
        <f>IF($C41="","",IFERROR(INDEX(INVENTARIO!$C$7:$C$26,MATCH($C41,INVENTARIO!$B$7:$B$26,0)),"⚠ ID no existe"))</f>
        <v/>
      </c>
      <c r="E41" s="127" t="n"/>
      <c r="F41" s="128" t="n"/>
      <c r="G41" s="129" t="n"/>
      <c r="H41" s="112">
        <f>IF($C41="","",$F41*$G41)</f>
        <v/>
      </c>
      <c r="I41" s="100" t="n"/>
      <c r="J41" s="115">
        <f>IF($C41="","",IF($I41="Tarjeta Citi",CFG_CITI,0))</f>
        <v/>
      </c>
      <c r="K41" s="112">
        <f>IF($C41="","",$H41*$J41)</f>
        <v/>
      </c>
      <c r="L41" s="114">
        <f>IF($C41="","",$H41+$K41)</f>
        <v/>
      </c>
      <c r="M41" s="113">
        <f>IF(OR($C41="",N($F41)=0),"",$L41/$F41)</f>
        <v/>
      </c>
      <c r="N41" s="127" t="n"/>
    </row>
    <row r="42">
      <c r="B42" s="101" t="n"/>
      <c r="C42" s="100" t="n"/>
      <c r="D42" s="96">
        <f>IF($C42="","",IFERROR(INDEX(INVENTARIO!$C$7:$C$26,MATCH($C42,INVENTARIO!$B$7:$B$26,0)),"⚠ ID no existe"))</f>
        <v/>
      </c>
      <c r="E42" s="127" t="n"/>
      <c r="F42" s="128" t="n"/>
      <c r="G42" s="129" t="n"/>
      <c r="H42" s="112">
        <f>IF($C42="","",$F42*$G42)</f>
        <v/>
      </c>
      <c r="I42" s="100" t="n"/>
      <c r="J42" s="115">
        <f>IF($C42="","",IF($I42="Tarjeta Citi",CFG_CITI,0))</f>
        <v/>
      </c>
      <c r="K42" s="112">
        <f>IF($C42="","",$H42*$J42)</f>
        <v/>
      </c>
      <c r="L42" s="114">
        <f>IF($C42="","",$H42+$K42)</f>
        <v/>
      </c>
      <c r="M42" s="113">
        <f>IF(OR($C42="",N($F42)=0),"",$L42/$F42)</f>
        <v/>
      </c>
      <c r="N42" s="127" t="n"/>
    </row>
    <row r="43">
      <c r="B43" s="101" t="n"/>
      <c r="C43" s="100" t="n"/>
      <c r="D43" s="96">
        <f>IF($C43="","",IFERROR(INDEX(INVENTARIO!$C$7:$C$26,MATCH($C43,INVENTARIO!$B$7:$B$26,0)),"⚠ ID no existe"))</f>
        <v/>
      </c>
      <c r="E43" s="127" t="n"/>
      <c r="F43" s="128" t="n"/>
      <c r="G43" s="129" t="n"/>
      <c r="H43" s="112">
        <f>IF($C43="","",$F43*$G43)</f>
        <v/>
      </c>
      <c r="I43" s="100" t="n"/>
      <c r="J43" s="115">
        <f>IF($C43="","",IF($I43="Tarjeta Citi",CFG_CITI,0))</f>
        <v/>
      </c>
      <c r="K43" s="112">
        <f>IF($C43="","",$H43*$J43)</f>
        <v/>
      </c>
      <c r="L43" s="114">
        <f>IF($C43="","",$H43+$K43)</f>
        <v/>
      </c>
      <c r="M43" s="113">
        <f>IF(OR($C43="",N($F43)=0),"",$L43/$F43)</f>
        <v/>
      </c>
      <c r="N43" s="127" t="n"/>
    </row>
    <row r="44">
      <c r="B44" s="101" t="n"/>
      <c r="C44" s="100" t="n"/>
      <c r="D44" s="96">
        <f>IF($C44="","",IFERROR(INDEX(INVENTARIO!$C$7:$C$26,MATCH($C44,INVENTARIO!$B$7:$B$26,0)),"⚠ ID no existe"))</f>
        <v/>
      </c>
      <c r="E44" s="127" t="n"/>
      <c r="F44" s="128" t="n"/>
      <c r="G44" s="129" t="n"/>
      <c r="H44" s="112">
        <f>IF($C44="","",$F44*$G44)</f>
        <v/>
      </c>
      <c r="I44" s="100" t="n"/>
      <c r="J44" s="115">
        <f>IF($C44="","",IF($I44="Tarjeta Citi",CFG_CITI,0))</f>
        <v/>
      </c>
      <c r="K44" s="112">
        <f>IF($C44="","",$H44*$J44)</f>
        <v/>
      </c>
      <c r="L44" s="114">
        <f>IF($C44="","",$H44+$K44)</f>
        <v/>
      </c>
      <c r="M44" s="113">
        <f>IF(OR($C44="",N($F44)=0),"",$L44/$F44)</f>
        <v/>
      </c>
      <c r="N44" s="127" t="n"/>
    </row>
    <row r="45">
      <c r="B45" s="101" t="n"/>
      <c r="C45" s="100" t="n"/>
      <c r="D45" s="96">
        <f>IF($C45="","",IFERROR(INDEX(INVENTARIO!$C$7:$C$26,MATCH($C45,INVENTARIO!$B$7:$B$26,0)),"⚠ ID no existe"))</f>
        <v/>
      </c>
      <c r="E45" s="127" t="n"/>
      <c r="F45" s="128" t="n"/>
      <c r="G45" s="129" t="n"/>
      <c r="H45" s="112">
        <f>IF($C45="","",$F45*$G45)</f>
        <v/>
      </c>
      <c r="I45" s="100" t="n"/>
      <c r="J45" s="115">
        <f>IF($C45="","",IF($I45="Tarjeta Citi",CFG_CITI,0))</f>
        <v/>
      </c>
      <c r="K45" s="112">
        <f>IF($C45="","",$H45*$J45)</f>
        <v/>
      </c>
      <c r="L45" s="114">
        <f>IF($C45="","",$H45+$K45)</f>
        <v/>
      </c>
      <c r="M45" s="113">
        <f>IF(OR($C45="",N($F45)=0),"",$L45/$F45)</f>
        <v/>
      </c>
      <c r="N45" s="127" t="n"/>
    </row>
    <row r="46">
      <c r="B46" s="101" t="n"/>
      <c r="C46" s="100" t="n"/>
      <c r="D46" s="96">
        <f>IF($C46="","",IFERROR(INDEX(INVENTARIO!$C$7:$C$26,MATCH($C46,INVENTARIO!$B$7:$B$26,0)),"⚠ ID no existe"))</f>
        <v/>
      </c>
      <c r="E46" s="127" t="n"/>
      <c r="F46" s="128" t="n"/>
      <c r="G46" s="129" t="n"/>
      <c r="H46" s="112">
        <f>IF($C46="","",$F46*$G46)</f>
        <v/>
      </c>
      <c r="I46" s="100" t="n"/>
      <c r="J46" s="115">
        <f>IF($C46="","",IF($I46="Tarjeta Citi",CFG_CITI,0))</f>
        <v/>
      </c>
      <c r="K46" s="112">
        <f>IF($C46="","",$H46*$J46)</f>
        <v/>
      </c>
      <c r="L46" s="114">
        <f>IF($C46="","",$H46+$K46)</f>
        <v/>
      </c>
      <c r="M46" s="113">
        <f>IF(OR($C46="",N($F46)=0),"",$L46/$F46)</f>
        <v/>
      </c>
      <c r="N46" s="127" t="n"/>
    </row>
    <row r="47">
      <c r="B47" s="101" t="n"/>
      <c r="C47" s="100" t="n"/>
      <c r="D47" s="96">
        <f>IF($C47="","",IFERROR(INDEX(INVENTARIO!$C$7:$C$26,MATCH($C47,INVENTARIO!$B$7:$B$26,0)),"⚠ ID no existe"))</f>
        <v/>
      </c>
      <c r="E47" s="127" t="n"/>
      <c r="F47" s="128" t="n"/>
      <c r="G47" s="129" t="n"/>
      <c r="H47" s="112">
        <f>IF($C47="","",$F47*$G47)</f>
        <v/>
      </c>
      <c r="I47" s="100" t="n"/>
      <c r="J47" s="115">
        <f>IF($C47="","",IF($I47="Tarjeta Citi",CFG_CITI,0))</f>
        <v/>
      </c>
      <c r="K47" s="112">
        <f>IF($C47="","",$H47*$J47)</f>
        <v/>
      </c>
      <c r="L47" s="114">
        <f>IF($C47="","",$H47+$K47)</f>
        <v/>
      </c>
      <c r="M47" s="113">
        <f>IF(OR($C47="",N($F47)=0),"",$L47/$F47)</f>
        <v/>
      </c>
      <c r="N47" s="127" t="n"/>
    </row>
    <row r="48">
      <c r="B48" s="101" t="n"/>
      <c r="C48" s="100" t="n"/>
      <c r="D48" s="96">
        <f>IF($C48="","",IFERROR(INDEX(INVENTARIO!$C$7:$C$26,MATCH($C48,INVENTARIO!$B$7:$B$26,0)),"⚠ ID no existe"))</f>
        <v/>
      </c>
      <c r="E48" s="127" t="n"/>
      <c r="F48" s="128" t="n"/>
      <c r="G48" s="129" t="n"/>
      <c r="H48" s="112">
        <f>IF($C48="","",$F48*$G48)</f>
        <v/>
      </c>
      <c r="I48" s="100" t="n"/>
      <c r="J48" s="115">
        <f>IF($C48="","",IF($I48="Tarjeta Citi",CFG_CITI,0))</f>
        <v/>
      </c>
      <c r="K48" s="112">
        <f>IF($C48="","",$H48*$J48)</f>
        <v/>
      </c>
      <c r="L48" s="114">
        <f>IF($C48="","",$H48+$K48)</f>
        <v/>
      </c>
      <c r="M48" s="113">
        <f>IF(OR($C48="",N($F48)=0),"",$L48/$F48)</f>
        <v/>
      </c>
      <c r="N48" s="127" t="n"/>
    </row>
    <row r="49">
      <c r="B49" s="101" t="n"/>
      <c r="C49" s="100" t="n"/>
      <c r="D49" s="96">
        <f>IF($C49="","",IFERROR(INDEX(INVENTARIO!$C$7:$C$26,MATCH($C49,INVENTARIO!$B$7:$B$26,0)),"⚠ ID no existe"))</f>
        <v/>
      </c>
      <c r="E49" s="127" t="n"/>
      <c r="F49" s="128" t="n"/>
      <c r="G49" s="129" t="n"/>
      <c r="H49" s="112">
        <f>IF($C49="","",$F49*$G49)</f>
        <v/>
      </c>
      <c r="I49" s="100" t="n"/>
      <c r="J49" s="115">
        <f>IF($C49="","",IF($I49="Tarjeta Citi",CFG_CITI,0))</f>
        <v/>
      </c>
      <c r="K49" s="112">
        <f>IF($C49="","",$H49*$J49)</f>
        <v/>
      </c>
      <c r="L49" s="114">
        <f>IF($C49="","",$H49+$K49)</f>
        <v/>
      </c>
      <c r="M49" s="113">
        <f>IF(OR($C49="",N($F49)=0),"",$L49/$F49)</f>
        <v/>
      </c>
      <c r="N49" s="127" t="n"/>
    </row>
    <row r="50">
      <c r="B50" s="101" t="n"/>
      <c r="C50" s="100" t="n"/>
      <c r="D50" s="96">
        <f>IF($C50="","",IFERROR(INDEX(INVENTARIO!$C$7:$C$26,MATCH($C50,INVENTARIO!$B$7:$B$26,0)),"⚠ ID no existe"))</f>
        <v/>
      </c>
      <c r="E50" s="127" t="n"/>
      <c r="F50" s="128" t="n"/>
      <c r="G50" s="129" t="n"/>
      <c r="H50" s="112">
        <f>IF($C50="","",$F50*$G50)</f>
        <v/>
      </c>
      <c r="I50" s="100" t="n"/>
      <c r="J50" s="115">
        <f>IF($C50="","",IF($I50="Tarjeta Citi",CFG_CITI,0))</f>
        <v/>
      </c>
      <c r="K50" s="112">
        <f>IF($C50="","",$H50*$J50)</f>
        <v/>
      </c>
      <c r="L50" s="114">
        <f>IF($C50="","",$H50+$K50)</f>
        <v/>
      </c>
      <c r="M50" s="113">
        <f>IF(OR($C50="",N($F50)=0),"",$L50/$F50)</f>
        <v/>
      </c>
      <c r="N50" s="127" t="n"/>
    </row>
    <row r="51">
      <c r="B51" s="101" t="n"/>
      <c r="C51" s="100" t="n"/>
      <c r="D51" s="96">
        <f>IF($C51="","",IFERROR(INDEX(INVENTARIO!$C$7:$C$26,MATCH($C51,INVENTARIO!$B$7:$B$26,0)),"⚠ ID no existe"))</f>
        <v/>
      </c>
      <c r="E51" s="127" t="n"/>
      <c r="F51" s="128" t="n"/>
      <c r="G51" s="129" t="n"/>
      <c r="H51" s="112">
        <f>IF($C51="","",$F51*$G51)</f>
        <v/>
      </c>
      <c r="I51" s="100" t="n"/>
      <c r="J51" s="115">
        <f>IF($C51="","",IF($I51="Tarjeta Citi",CFG_CITI,0))</f>
        <v/>
      </c>
      <c r="K51" s="112">
        <f>IF($C51="","",$H51*$J51)</f>
        <v/>
      </c>
      <c r="L51" s="114">
        <f>IF($C51="","",$H51+$K51)</f>
        <v/>
      </c>
      <c r="M51" s="113">
        <f>IF(OR($C51="",N($F51)=0),"",$L51/$F51)</f>
        <v/>
      </c>
      <c r="N51" s="127" t="n"/>
    </row>
    <row r="52">
      <c r="B52" s="101" t="n"/>
      <c r="C52" s="100" t="n"/>
      <c r="D52" s="96">
        <f>IF($C52="","",IFERROR(INDEX(INVENTARIO!$C$7:$C$26,MATCH($C52,INVENTARIO!$B$7:$B$26,0)),"⚠ ID no existe"))</f>
        <v/>
      </c>
      <c r="E52" s="127" t="n"/>
      <c r="F52" s="128" t="n"/>
      <c r="G52" s="129" t="n"/>
      <c r="H52" s="112">
        <f>IF($C52="","",$F52*$G52)</f>
        <v/>
      </c>
      <c r="I52" s="100" t="n"/>
      <c r="J52" s="115">
        <f>IF($C52="","",IF($I52="Tarjeta Citi",CFG_CITI,0))</f>
        <v/>
      </c>
      <c r="K52" s="112">
        <f>IF($C52="","",$H52*$J52)</f>
        <v/>
      </c>
      <c r="L52" s="114">
        <f>IF($C52="","",$H52+$K52)</f>
        <v/>
      </c>
      <c r="M52" s="113">
        <f>IF(OR($C52="",N($F52)=0),"",$L52/$F52)</f>
        <v/>
      </c>
      <c r="N52" s="127" t="n"/>
    </row>
    <row r="53">
      <c r="B53" s="101" t="n"/>
      <c r="C53" s="100" t="n"/>
      <c r="D53" s="96">
        <f>IF($C53="","",IFERROR(INDEX(INVENTARIO!$C$7:$C$26,MATCH($C53,INVENTARIO!$B$7:$B$26,0)),"⚠ ID no existe"))</f>
        <v/>
      </c>
      <c r="E53" s="127" t="n"/>
      <c r="F53" s="128" t="n"/>
      <c r="G53" s="129" t="n"/>
      <c r="H53" s="112">
        <f>IF($C53="","",$F53*$G53)</f>
        <v/>
      </c>
      <c r="I53" s="100" t="n"/>
      <c r="J53" s="115">
        <f>IF($C53="","",IF($I53="Tarjeta Citi",CFG_CITI,0))</f>
        <v/>
      </c>
      <c r="K53" s="112">
        <f>IF($C53="","",$H53*$J53)</f>
        <v/>
      </c>
      <c r="L53" s="114">
        <f>IF($C53="","",$H53+$K53)</f>
        <v/>
      </c>
      <c r="M53" s="113">
        <f>IF(OR($C53="",N($F53)=0),"",$L53/$F53)</f>
        <v/>
      </c>
      <c r="N53" s="127" t="n"/>
    </row>
    <row r="54">
      <c r="B54" s="101" t="n"/>
      <c r="C54" s="100" t="n"/>
      <c r="D54" s="96">
        <f>IF($C54="","",IFERROR(INDEX(INVENTARIO!$C$7:$C$26,MATCH($C54,INVENTARIO!$B$7:$B$26,0)),"⚠ ID no existe"))</f>
        <v/>
      </c>
      <c r="E54" s="127" t="n"/>
      <c r="F54" s="128" t="n"/>
      <c r="G54" s="129" t="n"/>
      <c r="H54" s="112">
        <f>IF($C54="","",$F54*$G54)</f>
        <v/>
      </c>
      <c r="I54" s="100" t="n"/>
      <c r="J54" s="115">
        <f>IF($C54="","",IF($I54="Tarjeta Citi",CFG_CITI,0))</f>
        <v/>
      </c>
      <c r="K54" s="112">
        <f>IF($C54="","",$H54*$J54)</f>
        <v/>
      </c>
      <c r="L54" s="114">
        <f>IF($C54="","",$H54+$K54)</f>
        <v/>
      </c>
      <c r="M54" s="113">
        <f>IF(OR($C54="",N($F54)=0),"",$L54/$F54)</f>
        <v/>
      </c>
      <c r="N54" s="127" t="n"/>
    </row>
    <row r="55">
      <c r="B55" s="101" t="n"/>
      <c r="C55" s="100" t="n"/>
      <c r="D55" s="96">
        <f>IF($C55="","",IFERROR(INDEX(INVENTARIO!$C$7:$C$26,MATCH($C55,INVENTARIO!$B$7:$B$26,0)),"⚠ ID no existe"))</f>
        <v/>
      </c>
      <c r="E55" s="127" t="n"/>
      <c r="F55" s="128" t="n"/>
      <c r="G55" s="129" t="n"/>
      <c r="H55" s="112">
        <f>IF($C55="","",$F55*$G55)</f>
        <v/>
      </c>
      <c r="I55" s="100" t="n"/>
      <c r="J55" s="115">
        <f>IF($C55="","",IF($I55="Tarjeta Citi",CFG_CITI,0))</f>
        <v/>
      </c>
      <c r="K55" s="112">
        <f>IF($C55="","",$H55*$J55)</f>
        <v/>
      </c>
      <c r="L55" s="114">
        <f>IF($C55="","",$H55+$K55)</f>
        <v/>
      </c>
      <c r="M55" s="113">
        <f>IF(OR($C55="",N($F55)=0),"",$L55/$F55)</f>
        <v/>
      </c>
      <c r="N55" s="127" t="n"/>
    </row>
    <row r="56">
      <c r="B56" s="101" t="n"/>
      <c r="C56" s="100" t="n"/>
      <c r="D56" s="96">
        <f>IF($C56="","",IFERROR(INDEX(INVENTARIO!$C$7:$C$26,MATCH($C56,INVENTARIO!$B$7:$B$26,0)),"⚠ ID no existe"))</f>
        <v/>
      </c>
      <c r="E56" s="127" t="n"/>
      <c r="F56" s="128" t="n"/>
      <c r="G56" s="129" t="n"/>
      <c r="H56" s="112">
        <f>IF($C56="","",$F56*$G56)</f>
        <v/>
      </c>
      <c r="I56" s="100" t="n"/>
      <c r="J56" s="115">
        <f>IF($C56="","",IF($I56="Tarjeta Citi",CFG_CITI,0))</f>
        <v/>
      </c>
      <c r="K56" s="112">
        <f>IF($C56="","",$H56*$J56)</f>
        <v/>
      </c>
      <c r="L56" s="114">
        <f>IF($C56="","",$H56+$K56)</f>
        <v/>
      </c>
      <c r="M56" s="113">
        <f>IF(OR($C56="",N($F56)=0),"",$L56/$F56)</f>
        <v/>
      </c>
      <c r="N56" s="127" t="n"/>
    </row>
    <row r="57">
      <c r="B57" s="101" t="n"/>
      <c r="C57" s="100" t="n"/>
      <c r="D57" s="96">
        <f>IF($C57="","",IFERROR(INDEX(INVENTARIO!$C$7:$C$26,MATCH($C57,INVENTARIO!$B$7:$B$26,0)),"⚠ ID no existe"))</f>
        <v/>
      </c>
      <c r="E57" s="127" t="n"/>
      <c r="F57" s="128" t="n"/>
      <c r="G57" s="129" t="n"/>
      <c r="H57" s="112">
        <f>IF($C57="","",$F57*$G57)</f>
        <v/>
      </c>
      <c r="I57" s="100" t="n"/>
      <c r="J57" s="115">
        <f>IF($C57="","",IF($I57="Tarjeta Citi",CFG_CITI,0))</f>
        <v/>
      </c>
      <c r="K57" s="112">
        <f>IF($C57="","",$H57*$J57)</f>
        <v/>
      </c>
      <c r="L57" s="114">
        <f>IF($C57="","",$H57+$K57)</f>
        <v/>
      </c>
      <c r="M57" s="113">
        <f>IF(OR($C57="",N($F57)=0),"",$L57/$F57)</f>
        <v/>
      </c>
      <c r="N57" s="127" t="n"/>
    </row>
    <row r="58">
      <c r="B58" s="101" t="n"/>
      <c r="C58" s="100" t="n"/>
      <c r="D58" s="96">
        <f>IF($C58="","",IFERROR(INDEX(INVENTARIO!$C$7:$C$26,MATCH($C58,INVENTARIO!$B$7:$B$26,0)),"⚠ ID no existe"))</f>
        <v/>
      </c>
      <c r="E58" s="127" t="n"/>
      <c r="F58" s="128" t="n"/>
      <c r="G58" s="129" t="n"/>
      <c r="H58" s="112">
        <f>IF($C58="","",$F58*$G58)</f>
        <v/>
      </c>
      <c r="I58" s="100" t="n"/>
      <c r="J58" s="115">
        <f>IF($C58="","",IF($I58="Tarjeta Citi",CFG_CITI,0))</f>
        <v/>
      </c>
      <c r="K58" s="112">
        <f>IF($C58="","",$H58*$J58)</f>
        <v/>
      </c>
      <c r="L58" s="114">
        <f>IF($C58="","",$H58+$K58)</f>
        <v/>
      </c>
      <c r="M58" s="113">
        <f>IF(OR($C58="",N($F58)=0),"",$L58/$F58)</f>
        <v/>
      </c>
      <c r="N58" s="127" t="n"/>
    </row>
    <row r="59">
      <c r="B59" s="101" t="n"/>
      <c r="C59" s="100" t="n"/>
      <c r="D59" s="96">
        <f>IF($C59="","",IFERROR(INDEX(INVENTARIO!$C$7:$C$26,MATCH($C59,INVENTARIO!$B$7:$B$26,0)),"⚠ ID no existe"))</f>
        <v/>
      </c>
      <c r="E59" s="127" t="n"/>
      <c r="F59" s="128" t="n"/>
      <c r="G59" s="129" t="n"/>
      <c r="H59" s="112">
        <f>IF($C59="","",$F59*$G59)</f>
        <v/>
      </c>
      <c r="I59" s="100" t="n"/>
      <c r="J59" s="115">
        <f>IF($C59="","",IF($I59="Tarjeta Citi",CFG_CITI,0))</f>
        <v/>
      </c>
      <c r="K59" s="112">
        <f>IF($C59="","",$H59*$J59)</f>
        <v/>
      </c>
      <c r="L59" s="114">
        <f>IF($C59="","",$H59+$K59)</f>
        <v/>
      </c>
      <c r="M59" s="113">
        <f>IF(OR($C59="",N($F59)=0),"",$L59/$F59)</f>
        <v/>
      </c>
      <c r="N59" s="127" t="n"/>
    </row>
    <row r="60">
      <c r="B60" s="101" t="n"/>
      <c r="C60" s="100" t="n"/>
      <c r="D60" s="96">
        <f>IF($C60="","",IFERROR(INDEX(INVENTARIO!$C$7:$C$26,MATCH($C60,INVENTARIO!$B$7:$B$26,0)),"⚠ ID no existe"))</f>
        <v/>
      </c>
      <c r="E60" s="127" t="n"/>
      <c r="F60" s="128" t="n"/>
      <c r="G60" s="129" t="n"/>
      <c r="H60" s="112">
        <f>IF($C60="","",$F60*$G60)</f>
        <v/>
      </c>
      <c r="I60" s="100" t="n"/>
      <c r="J60" s="115">
        <f>IF($C60="","",IF($I60="Tarjeta Citi",CFG_CITI,0))</f>
        <v/>
      </c>
      <c r="K60" s="112">
        <f>IF($C60="","",$H60*$J60)</f>
        <v/>
      </c>
      <c r="L60" s="114">
        <f>IF($C60="","",$H60+$K60)</f>
        <v/>
      </c>
      <c r="M60" s="113">
        <f>IF(OR($C60="",N($F60)=0),"",$L60/$F60)</f>
        <v/>
      </c>
      <c r="N60" s="127" t="n"/>
    </row>
    <row r="61">
      <c r="B61" s="101" t="n"/>
      <c r="C61" s="100" t="n"/>
      <c r="D61" s="96">
        <f>IF($C61="","",IFERROR(INDEX(INVENTARIO!$C$7:$C$26,MATCH($C61,INVENTARIO!$B$7:$B$26,0)),"⚠ ID no existe"))</f>
        <v/>
      </c>
      <c r="E61" s="127" t="n"/>
      <c r="F61" s="128" t="n"/>
      <c r="G61" s="129" t="n"/>
      <c r="H61" s="112">
        <f>IF($C61="","",$F61*$G61)</f>
        <v/>
      </c>
      <c r="I61" s="100" t="n"/>
      <c r="J61" s="115">
        <f>IF($C61="","",IF($I61="Tarjeta Citi",CFG_CITI,0))</f>
        <v/>
      </c>
      <c r="K61" s="112">
        <f>IF($C61="","",$H61*$J61)</f>
        <v/>
      </c>
      <c r="L61" s="114">
        <f>IF($C61="","",$H61+$K61)</f>
        <v/>
      </c>
      <c r="M61" s="113">
        <f>IF(OR($C61="",N($F61)=0),"",$L61/$F61)</f>
        <v/>
      </c>
      <c r="N61" s="127" t="n"/>
    </row>
    <row r="62">
      <c r="B62" s="101" t="n"/>
      <c r="C62" s="100" t="n"/>
      <c r="D62" s="96">
        <f>IF($C62="","",IFERROR(INDEX(INVENTARIO!$C$7:$C$26,MATCH($C62,INVENTARIO!$B$7:$B$26,0)),"⚠ ID no existe"))</f>
        <v/>
      </c>
      <c r="E62" s="127" t="n"/>
      <c r="F62" s="128" t="n"/>
      <c r="G62" s="129" t="n"/>
      <c r="H62" s="112">
        <f>IF($C62="","",$F62*$G62)</f>
        <v/>
      </c>
      <c r="I62" s="100" t="n"/>
      <c r="J62" s="115">
        <f>IF($C62="","",IF($I62="Tarjeta Citi",CFG_CITI,0))</f>
        <v/>
      </c>
      <c r="K62" s="112">
        <f>IF($C62="","",$H62*$J62)</f>
        <v/>
      </c>
      <c r="L62" s="114">
        <f>IF($C62="","",$H62+$K62)</f>
        <v/>
      </c>
      <c r="M62" s="113">
        <f>IF(OR($C62="",N($F62)=0),"",$L62/$F62)</f>
        <v/>
      </c>
      <c r="N62" s="127" t="n"/>
    </row>
    <row r="63">
      <c r="B63" s="101" t="n"/>
      <c r="C63" s="100" t="n"/>
      <c r="D63" s="96">
        <f>IF($C63="","",IFERROR(INDEX(INVENTARIO!$C$7:$C$26,MATCH($C63,INVENTARIO!$B$7:$B$26,0)),"⚠ ID no existe"))</f>
        <v/>
      </c>
      <c r="E63" s="127" t="n"/>
      <c r="F63" s="128" t="n"/>
      <c r="G63" s="129" t="n"/>
      <c r="H63" s="112">
        <f>IF($C63="","",$F63*$G63)</f>
        <v/>
      </c>
      <c r="I63" s="100" t="n"/>
      <c r="J63" s="115">
        <f>IF($C63="","",IF($I63="Tarjeta Citi",CFG_CITI,0))</f>
        <v/>
      </c>
      <c r="K63" s="112">
        <f>IF($C63="","",$H63*$J63)</f>
        <v/>
      </c>
      <c r="L63" s="114">
        <f>IF($C63="","",$H63+$K63)</f>
        <v/>
      </c>
      <c r="M63" s="113">
        <f>IF(OR($C63="",N($F63)=0),"",$L63/$F63)</f>
        <v/>
      </c>
      <c r="N63" s="127" t="n"/>
    </row>
    <row r="64">
      <c r="B64" s="101" t="n"/>
      <c r="C64" s="100" t="n"/>
      <c r="D64" s="96">
        <f>IF($C64="","",IFERROR(INDEX(INVENTARIO!$C$7:$C$26,MATCH($C64,INVENTARIO!$B$7:$B$26,0)),"⚠ ID no existe"))</f>
        <v/>
      </c>
      <c r="E64" s="127" t="n"/>
      <c r="F64" s="128" t="n"/>
      <c r="G64" s="129" t="n"/>
      <c r="H64" s="112">
        <f>IF($C64="","",$F64*$G64)</f>
        <v/>
      </c>
      <c r="I64" s="100" t="n"/>
      <c r="J64" s="115">
        <f>IF($C64="","",IF($I64="Tarjeta Citi",CFG_CITI,0))</f>
        <v/>
      </c>
      <c r="K64" s="112">
        <f>IF($C64="","",$H64*$J64)</f>
        <v/>
      </c>
      <c r="L64" s="114">
        <f>IF($C64="","",$H64+$K64)</f>
        <v/>
      </c>
      <c r="M64" s="113">
        <f>IF(OR($C64="",N($F64)=0),"",$L64/$F64)</f>
        <v/>
      </c>
      <c r="N64" s="127" t="n"/>
    </row>
    <row r="65">
      <c r="B65" s="101" t="n"/>
      <c r="C65" s="100" t="n"/>
      <c r="D65" s="96">
        <f>IF($C65="","",IFERROR(INDEX(INVENTARIO!$C$7:$C$26,MATCH($C65,INVENTARIO!$B$7:$B$26,0)),"⚠ ID no existe"))</f>
        <v/>
      </c>
      <c r="E65" s="127" t="n"/>
      <c r="F65" s="128" t="n"/>
      <c r="G65" s="129" t="n"/>
      <c r="H65" s="112">
        <f>IF($C65="","",$F65*$G65)</f>
        <v/>
      </c>
      <c r="I65" s="100" t="n"/>
      <c r="J65" s="115">
        <f>IF($C65="","",IF($I65="Tarjeta Citi",CFG_CITI,0))</f>
        <v/>
      </c>
      <c r="K65" s="112">
        <f>IF($C65="","",$H65*$J65)</f>
        <v/>
      </c>
      <c r="L65" s="114">
        <f>IF($C65="","",$H65+$K65)</f>
        <v/>
      </c>
      <c r="M65" s="113">
        <f>IF(OR($C65="",N($F65)=0),"",$L65/$F65)</f>
        <v/>
      </c>
      <c r="N65" s="127" t="n"/>
    </row>
    <row r="66">
      <c r="B66" s="101" t="n"/>
      <c r="C66" s="100" t="n"/>
      <c r="D66" s="96">
        <f>IF($C66="","",IFERROR(INDEX(INVENTARIO!$C$7:$C$26,MATCH($C66,INVENTARIO!$B$7:$B$26,0)),"⚠ ID no existe"))</f>
        <v/>
      </c>
      <c r="E66" s="127" t="n"/>
      <c r="F66" s="128" t="n"/>
      <c r="G66" s="129" t="n"/>
      <c r="H66" s="112">
        <f>IF($C66="","",$F66*$G66)</f>
        <v/>
      </c>
      <c r="I66" s="100" t="n"/>
      <c r="J66" s="115">
        <f>IF($C66="","",IF($I66="Tarjeta Citi",CFG_CITI,0))</f>
        <v/>
      </c>
      <c r="K66" s="112">
        <f>IF($C66="","",$H66*$J66)</f>
        <v/>
      </c>
      <c r="L66" s="114">
        <f>IF($C66="","",$H66+$K66)</f>
        <v/>
      </c>
      <c r="M66" s="113">
        <f>IF(OR($C66="",N($F66)=0),"",$L66/$F66)</f>
        <v/>
      </c>
      <c r="N66" s="127" t="n"/>
    </row>
    <row r="67">
      <c r="B67" s="101" t="n"/>
      <c r="C67" s="100" t="n"/>
      <c r="D67" s="96">
        <f>IF($C67="","",IFERROR(INDEX(INVENTARIO!$C$7:$C$26,MATCH($C67,INVENTARIO!$B$7:$B$26,0)),"⚠ ID no existe"))</f>
        <v/>
      </c>
      <c r="E67" s="127" t="n"/>
      <c r="F67" s="128" t="n"/>
      <c r="G67" s="129" t="n"/>
      <c r="H67" s="112">
        <f>IF($C67="","",$F67*$G67)</f>
        <v/>
      </c>
      <c r="I67" s="100" t="n"/>
      <c r="J67" s="115">
        <f>IF($C67="","",IF($I67="Tarjeta Citi",CFG_CITI,0))</f>
        <v/>
      </c>
      <c r="K67" s="112">
        <f>IF($C67="","",$H67*$J67)</f>
        <v/>
      </c>
      <c r="L67" s="114">
        <f>IF($C67="","",$H67+$K67)</f>
        <v/>
      </c>
      <c r="M67" s="113">
        <f>IF(OR($C67="",N($F67)=0),"",$L67/$F67)</f>
        <v/>
      </c>
      <c r="N67" s="127" t="n"/>
    </row>
    <row r="68">
      <c r="B68" s="101" t="n"/>
      <c r="C68" s="100" t="n"/>
      <c r="D68" s="96">
        <f>IF($C68="","",IFERROR(INDEX(INVENTARIO!$C$7:$C$26,MATCH($C68,INVENTARIO!$B$7:$B$26,0)),"⚠ ID no existe"))</f>
        <v/>
      </c>
      <c r="E68" s="127" t="n"/>
      <c r="F68" s="128" t="n"/>
      <c r="G68" s="129" t="n"/>
      <c r="H68" s="112">
        <f>IF($C68="","",$F68*$G68)</f>
        <v/>
      </c>
      <c r="I68" s="100" t="n"/>
      <c r="J68" s="115">
        <f>IF($C68="","",IF($I68="Tarjeta Citi",CFG_CITI,0))</f>
        <v/>
      </c>
      <c r="K68" s="112">
        <f>IF($C68="","",$H68*$J68)</f>
        <v/>
      </c>
      <c r="L68" s="114">
        <f>IF($C68="","",$H68+$K68)</f>
        <v/>
      </c>
      <c r="M68" s="113">
        <f>IF(OR($C68="",N($F68)=0),"",$L68/$F68)</f>
        <v/>
      </c>
      <c r="N68" s="127" t="n"/>
    </row>
    <row r="69">
      <c r="B69" s="101" t="n"/>
      <c r="C69" s="100" t="n"/>
      <c r="D69" s="96">
        <f>IF($C69="","",IFERROR(INDEX(INVENTARIO!$C$7:$C$26,MATCH($C69,INVENTARIO!$B$7:$B$26,0)),"⚠ ID no existe"))</f>
        <v/>
      </c>
      <c r="E69" s="127" t="n"/>
      <c r="F69" s="128" t="n"/>
      <c r="G69" s="129" t="n"/>
      <c r="H69" s="112">
        <f>IF($C69="","",$F69*$G69)</f>
        <v/>
      </c>
      <c r="I69" s="100" t="n"/>
      <c r="J69" s="115">
        <f>IF($C69="","",IF($I69="Tarjeta Citi",CFG_CITI,0))</f>
        <v/>
      </c>
      <c r="K69" s="112">
        <f>IF($C69="","",$H69*$J69)</f>
        <v/>
      </c>
      <c r="L69" s="114">
        <f>IF($C69="","",$H69+$K69)</f>
        <v/>
      </c>
      <c r="M69" s="113">
        <f>IF(OR($C69="",N($F69)=0),"",$L69/$F69)</f>
        <v/>
      </c>
      <c r="N69" s="127" t="n"/>
    </row>
    <row r="70">
      <c r="B70" s="101" t="n"/>
      <c r="C70" s="100" t="n"/>
      <c r="D70" s="96">
        <f>IF($C70="","",IFERROR(INDEX(INVENTARIO!$C$7:$C$26,MATCH($C70,INVENTARIO!$B$7:$B$26,0)),"⚠ ID no existe"))</f>
        <v/>
      </c>
      <c r="E70" s="127" t="n"/>
      <c r="F70" s="128" t="n"/>
      <c r="G70" s="129" t="n"/>
      <c r="H70" s="112">
        <f>IF($C70="","",$F70*$G70)</f>
        <v/>
      </c>
      <c r="I70" s="100" t="n"/>
      <c r="J70" s="115">
        <f>IF($C70="","",IF($I70="Tarjeta Citi",CFG_CITI,0))</f>
        <v/>
      </c>
      <c r="K70" s="112">
        <f>IF($C70="","",$H70*$J70)</f>
        <v/>
      </c>
      <c r="L70" s="114">
        <f>IF($C70="","",$H70+$K70)</f>
        <v/>
      </c>
      <c r="M70" s="113">
        <f>IF(OR($C70="",N($F70)=0),"",$L70/$F70)</f>
        <v/>
      </c>
      <c r="N70" s="127" t="n"/>
    </row>
    <row r="71">
      <c r="B71" s="101" t="n"/>
      <c r="C71" s="100" t="n"/>
      <c r="D71" s="96">
        <f>IF($C71="","",IFERROR(INDEX(INVENTARIO!$C$7:$C$26,MATCH($C71,INVENTARIO!$B$7:$B$26,0)),"⚠ ID no existe"))</f>
        <v/>
      </c>
      <c r="E71" s="127" t="n"/>
      <c r="F71" s="128" t="n"/>
      <c r="G71" s="129" t="n"/>
      <c r="H71" s="112">
        <f>IF($C71="","",$F71*$G71)</f>
        <v/>
      </c>
      <c r="I71" s="100" t="n"/>
      <c r="J71" s="115">
        <f>IF($C71="","",IF($I71="Tarjeta Citi",CFG_CITI,0))</f>
        <v/>
      </c>
      <c r="K71" s="112">
        <f>IF($C71="","",$H71*$J71)</f>
        <v/>
      </c>
      <c r="L71" s="114">
        <f>IF($C71="","",$H71+$K71)</f>
        <v/>
      </c>
      <c r="M71" s="113">
        <f>IF(OR($C71="",N($F71)=0),"",$L71/$F71)</f>
        <v/>
      </c>
      <c r="N71" s="127" t="n"/>
    </row>
    <row r="72">
      <c r="B72" s="101" t="n"/>
      <c r="C72" s="100" t="n"/>
      <c r="D72" s="96">
        <f>IF($C72="","",IFERROR(INDEX(INVENTARIO!$C$7:$C$26,MATCH($C72,INVENTARIO!$B$7:$B$26,0)),"⚠ ID no existe"))</f>
        <v/>
      </c>
      <c r="E72" s="127" t="n"/>
      <c r="F72" s="128" t="n"/>
      <c r="G72" s="129" t="n"/>
      <c r="H72" s="112">
        <f>IF($C72="","",$F72*$G72)</f>
        <v/>
      </c>
      <c r="I72" s="100" t="n"/>
      <c r="J72" s="115">
        <f>IF($C72="","",IF($I72="Tarjeta Citi",CFG_CITI,0))</f>
        <v/>
      </c>
      <c r="K72" s="112">
        <f>IF($C72="","",$H72*$J72)</f>
        <v/>
      </c>
      <c r="L72" s="114">
        <f>IF($C72="","",$H72+$K72)</f>
        <v/>
      </c>
      <c r="M72" s="113">
        <f>IF(OR($C72="",N($F72)=0),"",$L72/$F72)</f>
        <v/>
      </c>
      <c r="N72" s="127" t="n"/>
    </row>
    <row r="73">
      <c r="B73" s="101" t="n"/>
      <c r="C73" s="100" t="n"/>
      <c r="D73" s="96">
        <f>IF($C73="","",IFERROR(INDEX(INVENTARIO!$C$7:$C$26,MATCH($C73,INVENTARIO!$B$7:$B$26,0)),"⚠ ID no existe"))</f>
        <v/>
      </c>
      <c r="E73" s="127" t="n"/>
      <c r="F73" s="128" t="n"/>
      <c r="G73" s="129" t="n"/>
      <c r="H73" s="112">
        <f>IF($C73="","",$F73*$G73)</f>
        <v/>
      </c>
      <c r="I73" s="100" t="n"/>
      <c r="J73" s="115">
        <f>IF($C73="","",IF($I73="Tarjeta Citi",CFG_CITI,0))</f>
        <v/>
      </c>
      <c r="K73" s="112">
        <f>IF($C73="","",$H73*$J73)</f>
        <v/>
      </c>
      <c r="L73" s="114">
        <f>IF($C73="","",$H73+$K73)</f>
        <v/>
      </c>
      <c r="M73" s="113">
        <f>IF(OR($C73="",N($F73)=0),"",$L73/$F73)</f>
        <v/>
      </c>
      <c r="N73" s="127" t="n"/>
    </row>
    <row r="74">
      <c r="B74" s="101" t="n"/>
      <c r="C74" s="100" t="n"/>
      <c r="D74" s="96">
        <f>IF($C74="","",IFERROR(INDEX(INVENTARIO!$C$7:$C$26,MATCH($C74,INVENTARIO!$B$7:$B$26,0)),"⚠ ID no existe"))</f>
        <v/>
      </c>
      <c r="E74" s="127" t="n"/>
      <c r="F74" s="128" t="n"/>
      <c r="G74" s="129" t="n"/>
      <c r="H74" s="112">
        <f>IF($C74="","",$F74*$G74)</f>
        <v/>
      </c>
      <c r="I74" s="100" t="n"/>
      <c r="J74" s="115">
        <f>IF($C74="","",IF($I74="Tarjeta Citi",CFG_CITI,0))</f>
        <v/>
      </c>
      <c r="K74" s="112">
        <f>IF($C74="","",$H74*$J74)</f>
        <v/>
      </c>
      <c r="L74" s="114">
        <f>IF($C74="","",$H74+$K74)</f>
        <v/>
      </c>
      <c r="M74" s="113">
        <f>IF(OR($C74="",N($F74)=0),"",$L74/$F74)</f>
        <v/>
      </c>
      <c r="N74" s="127" t="n"/>
    </row>
    <row r="75">
      <c r="B75" s="101" t="n"/>
      <c r="C75" s="100" t="n"/>
      <c r="D75" s="96">
        <f>IF($C75="","",IFERROR(INDEX(INVENTARIO!$C$7:$C$26,MATCH($C75,INVENTARIO!$B$7:$B$26,0)),"⚠ ID no existe"))</f>
        <v/>
      </c>
      <c r="E75" s="127" t="n"/>
      <c r="F75" s="128" t="n"/>
      <c r="G75" s="129" t="n"/>
      <c r="H75" s="112">
        <f>IF($C75="","",$F75*$G75)</f>
        <v/>
      </c>
      <c r="I75" s="100" t="n"/>
      <c r="J75" s="115">
        <f>IF($C75="","",IF($I75="Tarjeta Citi",CFG_CITI,0))</f>
        <v/>
      </c>
      <c r="K75" s="112">
        <f>IF($C75="","",$H75*$J75)</f>
        <v/>
      </c>
      <c r="L75" s="114">
        <f>IF($C75="","",$H75+$K75)</f>
        <v/>
      </c>
      <c r="M75" s="113">
        <f>IF(OR($C75="",N($F75)=0),"",$L75/$F75)</f>
        <v/>
      </c>
      <c r="N75" s="127" t="n"/>
    </row>
    <row r="76">
      <c r="B76" s="101" t="n"/>
      <c r="C76" s="100" t="n"/>
      <c r="D76" s="96">
        <f>IF($C76="","",IFERROR(INDEX(INVENTARIO!$C$7:$C$26,MATCH($C76,INVENTARIO!$B$7:$B$26,0)),"⚠ ID no existe"))</f>
        <v/>
      </c>
      <c r="E76" s="127" t="n"/>
      <c r="F76" s="128" t="n"/>
      <c r="G76" s="129" t="n"/>
      <c r="H76" s="112">
        <f>IF($C76="","",$F76*$G76)</f>
        <v/>
      </c>
      <c r="I76" s="100" t="n"/>
      <c r="J76" s="115">
        <f>IF($C76="","",IF($I76="Tarjeta Citi",CFG_CITI,0))</f>
        <v/>
      </c>
      <c r="K76" s="112">
        <f>IF($C76="","",$H76*$J76)</f>
        <v/>
      </c>
      <c r="L76" s="114">
        <f>IF($C76="","",$H76+$K76)</f>
        <v/>
      </c>
      <c r="M76" s="113">
        <f>IF(OR($C76="",N($F76)=0),"",$L76/$F76)</f>
        <v/>
      </c>
      <c r="N76" s="127" t="n"/>
    </row>
    <row r="77">
      <c r="B77" s="101" t="n"/>
      <c r="C77" s="100" t="n"/>
      <c r="D77" s="96">
        <f>IF($C77="","",IFERROR(INDEX(INVENTARIO!$C$7:$C$26,MATCH($C77,INVENTARIO!$B$7:$B$26,0)),"⚠ ID no existe"))</f>
        <v/>
      </c>
      <c r="E77" s="127" t="n"/>
      <c r="F77" s="128" t="n"/>
      <c r="G77" s="129" t="n"/>
      <c r="H77" s="112">
        <f>IF($C77="","",$F77*$G77)</f>
        <v/>
      </c>
      <c r="I77" s="100" t="n"/>
      <c r="J77" s="115">
        <f>IF($C77="","",IF($I77="Tarjeta Citi",CFG_CITI,0))</f>
        <v/>
      </c>
      <c r="K77" s="112">
        <f>IF($C77="","",$H77*$J77)</f>
        <v/>
      </c>
      <c r="L77" s="114">
        <f>IF($C77="","",$H77+$K77)</f>
        <v/>
      </c>
      <c r="M77" s="113">
        <f>IF(OR($C77="",N($F77)=0),"",$L77/$F77)</f>
        <v/>
      </c>
      <c r="N77" s="127" t="n"/>
    </row>
    <row r="78">
      <c r="B78" s="101" t="n"/>
      <c r="C78" s="100" t="n"/>
      <c r="D78" s="96">
        <f>IF($C78="","",IFERROR(INDEX(INVENTARIO!$C$7:$C$26,MATCH($C78,INVENTARIO!$B$7:$B$26,0)),"⚠ ID no existe"))</f>
        <v/>
      </c>
      <c r="E78" s="127" t="n"/>
      <c r="F78" s="128" t="n"/>
      <c r="G78" s="129" t="n"/>
      <c r="H78" s="112">
        <f>IF($C78="","",$F78*$G78)</f>
        <v/>
      </c>
      <c r="I78" s="100" t="n"/>
      <c r="J78" s="115">
        <f>IF($C78="","",IF($I78="Tarjeta Citi",CFG_CITI,0))</f>
        <v/>
      </c>
      <c r="K78" s="112">
        <f>IF($C78="","",$H78*$J78)</f>
        <v/>
      </c>
      <c r="L78" s="114">
        <f>IF($C78="","",$H78+$K78)</f>
        <v/>
      </c>
      <c r="M78" s="113">
        <f>IF(OR($C78="",N($F78)=0),"",$L78/$F78)</f>
        <v/>
      </c>
      <c r="N78" s="127" t="n"/>
    </row>
    <row r="79">
      <c r="B79" s="101" t="n"/>
      <c r="C79" s="100" t="n"/>
      <c r="D79" s="96">
        <f>IF($C79="","",IFERROR(INDEX(INVENTARIO!$C$7:$C$26,MATCH($C79,INVENTARIO!$B$7:$B$26,0)),"⚠ ID no existe"))</f>
        <v/>
      </c>
      <c r="E79" s="127" t="n"/>
      <c r="F79" s="128" t="n"/>
      <c r="G79" s="129" t="n"/>
      <c r="H79" s="112">
        <f>IF($C79="","",$F79*$G79)</f>
        <v/>
      </c>
      <c r="I79" s="100" t="n"/>
      <c r="J79" s="115">
        <f>IF($C79="","",IF($I79="Tarjeta Citi",CFG_CITI,0))</f>
        <v/>
      </c>
      <c r="K79" s="112">
        <f>IF($C79="","",$H79*$J79)</f>
        <v/>
      </c>
      <c r="L79" s="114">
        <f>IF($C79="","",$H79+$K79)</f>
        <v/>
      </c>
      <c r="M79" s="113">
        <f>IF(OR($C79="",N($F79)=0),"",$L79/$F79)</f>
        <v/>
      </c>
      <c r="N79" s="127" t="n"/>
    </row>
    <row r="80">
      <c r="B80" s="101" t="n"/>
      <c r="C80" s="100" t="n"/>
      <c r="D80" s="96">
        <f>IF($C80="","",IFERROR(INDEX(INVENTARIO!$C$7:$C$26,MATCH($C80,INVENTARIO!$B$7:$B$26,0)),"⚠ ID no existe"))</f>
        <v/>
      </c>
      <c r="E80" s="127" t="n"/>
      <c r="F80" s="128" t="n"/>
      <c r="G80" s="129" t="n"/>
      <c r="H80" s="112">
        <f>IF($C80="","",$F80*$G80)</f>
        <v/>
      </c>
      <c r="I80" s="100" t="n"/>
      <c r="J80" s="115">
        <f>IF($C80="","",IF($I80="Tarjeta Citi",CFG_CITI,0))</f>
        <v/>
      </c>
      <c r="K80" s="112">
        <f>IF($C80="","",$H80*$J80)</f>
        <v/>
      </c>
      <c r="L80" s="114">
        <f>IF($C80="","",$H80+$K80)</f>
        <v/>
      </c>
      <c r="M80" s="113">
        <f>IF(OR($C80="",N($F80)=0),"",$L80/$F80)</f>
        <v/>
      </c>
      <c r="N80" s="127" t="n"/>
    </row>
    <row r="81">
      <c r="B81" s="101" t="n"/>
      <c r="C81" s="100" t="n"/>
      <c r="D81" s="96">
        <f>IF($C81="","",IFERROR(INDEX(INVENTARIO!$C$7:$C$26,MATCH($C81,INVENTARIO!$B$7:$B$26,0)),"⚠ ID no existe"))</f>
        <v/>
      </c>
      <c r="E81" s="127" t="n"/>
      <c r="F81" s="128" t="n"/>
      <c r="G81" s="129" t="n"/>
      <c r="H81" s="112">
        <f>IF($C81="","",$F81*$G81)</f>
        <v/>
      </c>
      <c r="I81" s="100" t="n"/>
      <c r="J81" s="115">
        <f>IF($C81="","",IF($I81="Tarjeta Citi",CFG_CITI,0))</f>
        <v/>
      </c>
      <c r="K81" s="112">
        <f>IF($C81="","",$H81*$J81)</f>
        <v/>
      </c>
      <c r="L81" s="114">
        <f>IF($C81="","",$H81+$K81)</f>
        <v/>
      </c>
      <c r="M81" s="113">
        <f>IF(OR($C81="",N($F81)=0),"",$L81/$F81)</f>
        <v/>
      </c>
      <c r="N81" s="127" t="n"/>
    </row>
    <row r="82">
      <c r="B82" s="101" t="n"/>
      <c r="C82" s="100" t="n"/>
      <c r="D82" s="96">
        <f>IF($C82="","",IFERROR(INDEX(INVENTARIO!$C$7:$C$26,MATCH($C82,INVENTARIO!$B$7:$B$26,0)),"⚠ ID no existe"))</f>
        <v/>
      </c>
      <c r="E82" s="127" t="n"/>
      <c r="F82" s="128" t="n"/>
      <c r="G82" s="129" t="n"/>
      <c r="H82" s="112">
        <f>IF($C82="","",$F82*$G82)</f>
        <v/>
      </c>
      <c r="I82" s="100" t="n"/>
      <c r="J82" s="115">
        <f>IF($C82="","",IF($I82="Tarjeta Citi",CFG_CITI,0))</f>
        <v/>
      </c>
      <c r="K82" s="112">
        <f>IF($C82="","",$H82*$J82)</f>
        <v/>
      </c>
      <c r="L82" s="114">
        <f>IF($C82="","",$H82+$K82)</f>
        <v/>
      </c>
      <c r="M82" s="113">
        <f>IF(OR($C82="",N($F82)=0),"",$L82/$F82)</f>
        <v/>
      </c>
      <c r="N82" s="127" t="n"/>
    </row>
    <row r="83">
      <c r="B83" s="101" t="n"/>
      <c r="C83" s="100" t="n"/>
      <c r="D83" s="96">
        <f>IF($C83="","",IFERROR(INDEX(INVENTARIO!$C$7:$C$26,MATCH($C83,INVENTARIO!$B$7:$B$26,0)),"⚠ ID no existe"))</f>
        <v/>
      </c>
      <c r="E83" s="127" t="n"/>
      <c r="F83" s="128" t="n"/>
      <c r="G83" s="129" t="n"/>
      <c r="H83" s="112">
        <f>IF($C83="","",$F83*$G83)</f>
        <v/>
      </c>
      <c r="I83" s="100" t="n"/>
      <c r="J83" s="115">
        <f>IF($C83="","",IF($I83="Tarjeta Citi",CFG_CITI,0))</f>
        <v/>
      </c>
      <c r="K83" s="112">
        <f>IF($C83="","",$H83*$J83)</f>
        <v/>
      </c>
      <c r="L83" s="114">
        <f>IF($C83="","",$H83+$K83)</f>
        <v/>
      </c>
      <c r="M83" s="113">
        <f>IF(OR($C83="",N($F83)=0),"",$L83/$F83)</f>
        <v/>
      </c>
      <c r="N83" s="127" t="n"/>
    </row>
    <row r="84">
      <c r="B84" s="101" t="n"/>
      <c r="C84" s="100" t="n"/>
      <c r="D84" s="96">
        <f>IF($C84="","",IFERROR(INDEX(INVENTARIO!$C$7:$C$26,MATCH($C84,INVENTARIO!$B$7:$B$26,0)),"⚠ ID no existe"))</f>
        <v/>
      </c>
      <c r="E84" s="127" t="n"/>
      <c r="F84" s="128" t="n"/>
      <c r="G84" s="129" t="n"/>
      <c r="H84" s="112">
        <f>IF($C84="","",$F84*$G84)</f>
        <v/>
      </c>
      <c r="I84" s="100" t="n"/>
      <c r="J84" s="115">
        <f>IF($C84="","",IF($I84="Tarjeta Citi",CFG_CITI,0))</f>
        <v/>
      </c>
      <c r="K84" s="112">
        <f>IF($C84="","",$H84*$J84)</f>
        <v/>
      </c>
      <c r="L84" s="114">
        <f>IF($C84="","",$H84+$K84)</f>
        <v/>
      </c>
      <c r="M84" s="113">
        <f>IF(OR($C84="",N($F84)=0),"",$L84/$F84)</f>
        <v/>
      </c>
      <c r="N84" s="127" t="n"/>
    </row>
    <row r="85">
      <c r="B85" s="101" t="n"/>
      <c r="C85" s="100" t="n"/>
      <c r="D85" s="96">
        <f>IF($C85="","",IFERROR(INDEX(INVENTARIO!$C$7:$C$26,MATCH($C85,INVENTARIO!$B$7:$B$26,0)),"⚠ ID no existe"))</f>
        <v/>
      </c>
      <c r="E85" s="127" t="n"/>
      <c r="F85" s="128" t="n"/>
      <c r="G85" s="129" t="n"/>
      <c r="H85" s="112">
        <f>IF($C85="","",$F85*$G85)</f>
        <v/>
      </c>
      <c r="I85" s="100" t="n"/>
      <c r="J85" s="115">
        <f>IF($C85="","",IF($I85="Tarjeta Citi",CFG_CITI,0))</f>
        <v/>
      </c>
      <c r="K85" s="112">
        <f>IF($C85="","",$H85*$J85)</f>
        <v/>
      </c>
      <c r="L85" s="114">
        <f>IF($C85="","",$H85+$K85)</f>
        <v/>
      </c>
      <c r="M85" s="113">
        <f>IF(OR($C85="",N($F85)=0),"",$L85/$F85)</f>
        <v/>
      </c>
      <c r="N85" s="127" t="n"/>
    </row>
    <row r="86">
      <c r="B86" s="101" t="n"/>
      <c r="C86" s="100" t="n"/>
      <c r="D86" s="96">
        <f>IF($C86="","",IFERROR(INDEX(INVENTARIO!$C$7:$C$26,MATCH($C86,INVENTARIO!$B$7:$B$26,0)),"⚠ ID no existe"))</f>
        <v/>
      </c>
      <c r="E86" s="127" t="n"/>
      <c r="F86" s="128" t="n"/>
      <c r="G86" s="129" t="n"/>
      <c r="H86" s="112">
        <f>IF($C86="","",$F86*$G86)</f>
        <v/>
      </c>
      <c r="I86" s="100" t="n"/>
      <c r="J86" s="115">
        <f>IF($C86="","",IF($I86="Tarjeta Citi",CFG_CITI,0))</f>
        <v/>
      </c>
      <c r="K86" s="112">
        <f>IF($C86="","",$H86*$J86)</f>
        <v/>
      </c>
      <c r="L86" s="114">
        <f>IF($C86="","",$H86+$K86)</f>
        <v/>
      </c>
      <c r="M86" s="113">
        <f>IF(OR($C86="",N($F86)=0),"",$L86/$F86)</f>
        <v/>
      </c>
      <c r="N86" s="127" t="n"/>
    </row>
    <row r="87">
      <c r="B87" s="101" t="n"/>
      <c r="C87" s="100" t="n"/>
      <c r="D87" s="96">
        <f>IF($C87="","",IFERROR(INDEX(INVENTARIO!$C$7:$C$26,MATCH($C87,INVENTARIO!$B$7:$B$26,0)),"⚠ ID no existe"))</f>
        <v/>
      </c>
      <c r="E87" s="127" t="n"/>
      <c r="F87" s="128" t="n"/>
      <c r="G87" s="129" t="n"/>
      <c r="H87" s="112">
        <f>IF($C87="","",$F87*$G87)</f>
        <v/>
      </c>
      <c r="I87" s="100" t="n"/>
      <c r="J87" s="115">
        <f>IF($C87="","",IF($I87="Tarjeta Citi",CFG_CITI,0))</f>
        <v/>
      </c>
      <c r="K87" s="112">
        <f>IF($C87="","",$H87*$J87)</f>
        <v/>
      </c>
      <c r="L87" s="114">
        <f>IF($C87="","",$H87+$K87)</f>
        <v/>
      </c>
      <c r="M87" s="113">
        <f>IF(OR($C87="",N($F87)=0),"",$L87/$F87)</f>
        <v/>
      </c>
      <c r="N87" s="127" t="n"/>
    </row>
    <row r="88">
      <c r="B88" s="101" t="n"/>
      <c r="C88" s="100" t="n"/>
      <c r="D88" s="96">
        <f>IF($C88="","",IFERROR(INDEX(INVENTARIO!$C$7:$C$26,MATCH($C88,INVENTARIO!$B$7:$B$26,0)),"⚠ ID no existe"))</f>
        <v/>
      </c>
      <c r="E88" s="127" t="n"/>
      <c r="F88" s="128" t="n"/>
      <c r="G88" s="129" t="n"/>
      <c r="H88" s="112">
        <f>IF($C88="","",$F88*$G88)</f>
        <v/>
      </c>
      <c r="I88" s="100" t="n"/>
      <c r="J88" s="115">
        <f>IF($C88="","",IF($I88="Tarjeta Citi",CFG_CITI,0))</f>
        <v/>
      </c>
      <c r="K88" s="112">
        <f>IF($C88="","",$H88*$J88)</f>
        <v/>
      </c>
      <c r="L88" s="114">
        <f>IF($C88="","",$H88+$K88)</f>
        <v/>
      </c>
      <c r="M88" s="113">
        <f>IF(OR($C88="",N($F88)=0),"",$L88/$F88)</f>
        <v/>
      </c>
      <c r="N88" s="127" t="n"/>
    </row>
    <row r="89">
      <c r="B89" s="101" t="n"/>
      <c r="C89" s="100" t="n"/>
      <c r="D89" s="96">
        <f>IF($C89="","",IFERROR(INDEX(INVENTARIO!$C$7:$C$26,MATCH($C89,INVENTARIO!$B$7:$B$26,0)),"⚠ ID no existe"))</f>
        <v/>
      </c>
      <c r="E89" s="127" t="n"/>
      <c r="F89" s="128" t="n"/>
      <c r="G89" s="129" t="n"/>
      <c r="H89" s="112">
        <f>IF($C89="","",$F89*$G89)</f>
        <v/>
      </c>
      <c r="I89" s="100" t="n"/>
      <c r="J89" s="115">
        <f>IF($C89="","",IF($I89="Tarjeta Citi",CFG_CITI,0))</f>
        <v/>
      </c>
      <c r="K89" s="112">
        <f>IF($C89="","",$H89*$J89)</f>
        <v/>
      </c>
      <c r="L89" s="114">
        <f>IF($C89="","",$H89+$K89)</f>
        <v/>
      </c>
      <c r="M89" s="113">
        <f>IF(OR($C89="",N($F89)=0),"",$L89/$F89)</f>
        <v/>
      </c>
      <c r="N89" s="127" t="n"/>
    </row>
    <row r="90">
      <c r="B90" s="101" t="n"/>
      <c r="C90" s="100" t="n"/>
      <c r="D90" s="96">
        <f>IF($C90="","",IFERROR(INDEX(INVENTARIO!$C$7:$C$26,MATCH($C90,INVENTARIO!$B$7:$B$26,0)),"⚠ ID no existe"))</f>
        <v/>
      </c>
      <c r="E90" s="127" t="n"/>
      <c r="F90" s="128" t="n"/>
      <c r="G90" s="129" t="n"/>
      <c r="H90" s="112">
        <f>IF($C90="","",$F90*$G90)</f>
        <v/>
      </c>
      <c r="I90" s="100" t="n"/>
      <c r="J90" s="115">
        <f>IF($C90="","",IF($I90="Tarjeta Citi",CFG_CITI,0))</f>
        <v/>
      </c>
      <c r="K90" s="112">
        <f>IF($C90="","",$H90*$J90)</f>
        <v/>
      </c>
      <c r="L90" s="114">
        <f>IF($C90="","",$H90+$K90)</f>
        <v/>
      </c>
      <c r="M90" s="113">
        <f>IF(OR($C90="",N($F90)=0),"",$L90/$F90)</f>
        <v/>
      </c>
      <c r="N90" s="127" t="n"/>
    </row>
    <row r="91">
      <c r="B91" s="101" t="n"/>
      <c r="C91" s="100" t="n"/>
      <c r="D91" s="96">
        <f>IF($C91="","",IFERROR(INDEX(INVENTARIO!$C$7:$C$26,MATCH($C91,INVENTARIO!$B$7:$B$26,0)),"⚠ ID no existe"))</f>
        <v/>
      </c>
      <c r="E91" s="127" t="n"/>
      <c r="F91" s="128" t="n"/>
      <c r="G91" s="129" t="n"/>
      <c r="H91" s="112">
        <f>IF($C91="","",$F91*$G91)</f>
        <v/>
      </c>
      <c r="I91" s="100" t="n"/>
      <c r="J91" s="115">
        <f>IF($C91="","",IF($I91="Tarjeta Citi",CFG_CITI,0))</f>
        <v/>
      </c>
      <c r="K91" s="112">
        <f>IF($C91="","",$H91*$J91)</f>
        <v/>
      </c>
      <c r="L91" s="114">
        <f>IF($C91="","",$H91+$K91)</f>
        <v/>
      </c>
      <c r="M91" s="113">
        <f>IF(OR($C91="",N($F91)=0),"",$L91/$F91)</f>
        <v/>
      </c>
      <c r="N91" s="127" t="n"/>
    </row>
    <row r="92">
      <c r="B92" s="101" t="n"/>
      <c r="C92" s="100" t="n"/>
      <c r="D92" s="96">
        <f>IF($C92="","",IFERROR(INDEX(INVENTARIO!$C$7:$C$26,MATCH($C92,INVENTARIO!$B$7:$B$26,0)),"⚠ ID no existe"))</f>
        <v/>
      </c>
      <c r="E92" s="127" t="n"/>
      <c r="F92" s="128" t="n"/>
      <c r="G92" s="129" t="n"/>
      <c r="H92" s="112">
        <f>IF($C92="","",$F92*$G92)</f>
        <v/>
      </c>
      <c r="I92" s="100" t="n"/>
      <c r="J92" s="115">
        <f>IF($C92="","",IF($I92="Tarjeta Citi",CFG_CITI,0))</f>
        <v/>
      </c>
      <c r="K92" s="112">
        <f>IF($C92="","",$H92*$J92)</f>
        <v/>
      </c>
      <c r="L92" s="114">
        <f>IF($C92="","",$H92+$K92)</f>
        <v/>
      </c>
      <c r="M92" s="113">
        <f>IF(OR($C92="",N($F92)=0),"",$L92/$F92)</f>
        <v/>
      </c>
      <c r="N92" s="127" t="n"/>
    </row>
    <row r="93">
      <c r="B93" s="101" t="n"/>
      <c r="C93" s="100" t="n"/>
      <c r="D93" s="96">
        <f>IF($C93="","",IFERROR(INDEX(INVENTARIO!$C$7:$C$26,MATCH($C93,INVENTARIO!$B$7:$B$26,0)),"⚠ ID no existe"))</f>
        <v/>
      </c>
      <c r="E93" s="127" t="n"/>
      <c r="F93" s="128" t="n"/>
      <c r="G93" s="129" t="n"/>
      <c r="H93" s="112">
        <f>IF($C93="","",$F93*$G93)</f>
        <v/>
      </c>
      <c r="I93" s="100" t="n"/>
      <c r="J93" s="115">
        <f>IF($C93="","",IF($I93="Tarjeta Citi",CFG_CITI,0))</f>
        <v/>
      </c>
      <c r="K93" s="112">
        <f>IF($C93="","",$H93*$J93)</f>
        <v/>
      </c>
      <c r="L93" s="114">
        <f>IF($C93="","",$H93+$K93)</f>
        <v/>
      </c>
      <c r="M93" s="113">
        <f>IF(OR($C93="",N($F93)=0),"",$L93/$F93)</f>
        <v/>
      </c>
      <c r="N93" s="127" t="n"/>
    </row>
    <row r="94">
      <c r="B94" s="101" t="n"/>
      <c r="C94" s="100" t="n"/>
      <c r="D94" s="96">
        <f>IF($C94="","",IFERROR(INDEX(INVENTARIO!$C$7:$C$26,MATCH($C94,INVENTARIO!$B$7:$B$26,0)),"⚠ ID no existe"))</f>
        <v/>
      </c>
      <c r="E94" s="127" t="n"/>
      <c r="F94" s="128" t="n"/>
      <c r="G94" s="129" t="n"/>
      <c r="H94" s="112">
        <f>IF($C94="","",$F94*$G94)</f>
        <v/>
      </c>
      <c r="I94" s="100" t="n"/>
      <c r="J94" s="115">
        <f>IF($C94="","",IF($I94="Tarjeta Citi",CFG_CITI,0))</f>
        <v/>
      </c>
      <c r="K94" s="112">
        <f>IF($C94="","",$H94*$J94)</f>
        <v/>
      </c>
      <c r="L94" s="114">
        <f>IF($C94="","",$H94+$K94)</f>
        <v/>
      </c>
      <c r="M94" s="113">
        <f>IF(OR($C94="",N($F94)=0),"",$L94/$F94)</f>
        <v/>
      </c>
      <c r="N94" s="127" t="n"/>
    </row>
    <row r="95">
      <c r="B95" s="101" t="n"/>
      <c r="C95" s="100" t="n"/>
      <c r="D95" s="96">
        <f>IF($C95="","",IFERROR(INDEX(INVENTARIO!$C$7:$C$26,MATCH($C95,INVENTARIO!$B$7:$B$26,0)),"⚠ ID no existe"))</f>
        <v/>
      </c>
      <c r="E95" s="127" t="n"/>
      <c r="F95" s="128" t="n"/>
      <c r="G95" s="129" t="n"/>
      <c r="H95" s="112">
        <f>IF($C95="","",$F95*$G95)</f>
        <v/>
      </c>
      <c r="I95" s="100" t="n"/>
      <c r="J95" s="115">
        <f>IF($C95="","",IF($I95="Tarjeta Citi",CFG_CITI,0))</f>
        <v/>
      </c>
      <c r="K95" s="112">
        <f>IF($C95="","",$H95*$J95)</f>
        <v/>
      </c>
      <c r="L95" s="114">
        <f>IF($C95="","",$H95+$K95)</f>
        <v/>
      </c>
      <c r="M95" s="113">
        <f>IF(OR($C95="",N($F95)=0),"",$L95/$F95)</f>
        <v/>
      </c>
      <c r="N95" s="127" t="n"/>
    </row>
    <row r="96">
      <c r="B96" s="101" t="n"/>
      <c r="C96" s="100" t="n"/>
      <c r="D96" s="96">
        <f>IF($C96="","",IFERROR(INDEX(INVENTARIO!$C$7:$C$26,MATCH($C96,INVENTARIO!$B$7:$B$26,0)),"⚠ ID no existe"))</f>
        <v/>
      </c>
      <c r="E96" s="127" t="n"/>
      <c r="F96" s="128" t="n"/>
      <c r="G96" s="129" t="n"/>
      <c r="H96" s="112">
        <f>IF($C96="","",$F96*$G96)</f>
        <v/>
      </c>
      <c r="I96" s="100" t="n"/>
      <c r="J96" s="115">
        <f>IF($C96="","",IF($I96="Tarjeta Citi",CFG_CITI,0))</f>
        <v/>
      </c>
      <c r="K96" s="112">
        <f>IF($C96="","",$H96*$J96)</f>
        <v/>
      </c>
      <c r="L96" s="114">
        <f>IF($C96="","",$H96+$K96)</f>
        <v/>
      </c>
      <c r="M96" s="113">
        <f>IF(OR($C96="",N($F96)=0),"",$L96/$F96)</f>
        <v/>
      </c>
      <c r="N96" s="127" t="n"/>
    </row>
    <row r="97">
      <c r="B97" s="101" t="n"/>
      <c r="C97" s="100" t="n"/>
      <c r="D97" s="96">
        <f>IF($C97="","",IFERROR(INDEX(INVENTARIO!$C$7:$C$26,MATCH($C97,INVENTARIO!$B$7:$B$26,0)),"⚠ ID no existe"))</f>
        <v/>
      </c>
      <c r="E97" s="127" t="n"/>
      <c r="F97" s="128" t="n"/>
      <c r="G97" s="129" t="n"/>
      <c r="H97" s="112">
        <f>IF($C97="","",$F97*$G97)</f>
        <v/>
      </c>
      <c r="I97" s="100" t="n"/>
      <c r="J97" s="115">
        <f>IF($C97="","",IF($I97="Tarjeta Citi",CFG_CITI,0))</f>
        <v/>
      </c>
      <c r="K97" s="112">
        <f>IF($C97="","",$H97*$J97)</f>
        <v/>
      </c>
      <c r="L97" s="114">
        <f>IF($C97="","",$H97+$K97)</f>
        <v/>
      </c>
      <c r="M97" s="113">
        <f>IF(OR($C97="",N($F97)=0),"",$L97/$F97)</f>
        <v/>
      </c>
      <c r="N97" s="127" t="n"/>
    </row>
    <row r="98">
      <c r="B98" s="101" t="n"/>
      <c r="C98" s="100" t="n"/>
      <c r="D98" s="96">
        <f>IF($C98="","",IFERROR(INDEX(INVENTARIO!$C$7:$C$26,MATCH($C98,INVENTARIO!$B$7:$B$26,0)),"⚠ ID no existe"))</f>
        <v/>
      </c>
      <c r="E98" s="127" t="n"/>
      <c r="F98" s="128" t="n"/>
      <c r="G98" s="129" t="n"/>
      <c r="H98" s="112">
        <f>IF($C98="","",$F98*$G98)</f>
        <v/>
      </c>
      <c r="I98" s="100" t="n"/>
      <c r="J98" s="115">
        <f>IF($C98="","",IF($I98="Tarjeta Citi",CFG_CITI,0))</f>
        <v/>
      </c>
      <c r="K98" s="112">
        <f>IF($C98="","",$H98*$J98)</f>
        <v/>
      </c>
      <c r="L98" s="114">
        <f>IF($C98="","",$H98+$K98)</f>
        <v/>
      </c>
      <c r="M98" s="113">
        <f>IF(OR($C98="",N($F98)=0),"",$L98/$F98)</f>
        <v/>
      </c>
      <c r="N98" s="127" t="n"/>
    </row>
    <row r="99">
      <c r="B99" s="101" t="n"/>
      <c r="C99" s="100" t="n"/>
      <c r="D99" s="96">
        <f>IF($C99="","",IFERROR(INDEX(INVENTARIO!$C$7:$C$26,MATCH($C99,INVENTARIO!$B$7:$B$26,0)),"⚠ ID no existe"))</f>
        <v/>
      </c>
      <c r="E99" s="127" t="n"/>
      <c r="F99" s="128" t="n"/>
      <c r="G99" s="129" t="n"/>
      <c r="H99" s="112">
        <f>IF($C99="","",$F99*$G99)</f>
        <v/>
      </c>
      <c r="I99" s="100" t="n"/>
      <c r="J99" s="115">
        <f>IF($C99="","",IF($I99="Tarjeta Citi",CFG_CITI,0))</f>
        <v/>
      </c>
      <c r="K99" s="112">
        <f>IF($C99="","",$H99*$J99)</f>
        <v/>
      </c>
      <c r="L99" s="114">
        <f>IF($C99="","",$H99+$K99)</f>
        <v/>
      </c>
      <c r="M99" s="113">
        <f>IF(OR($C99="",N($F99)=0),"",$L99/$F99)</f>
        <v/>
      </c>
      <c r="N99" s="127" t="n"/>
    </row>
    <row r="100">
      <c r="B100" s="101" t="n"/>
      <c r="C100" s="100" t="n"/>
      <c r="D100" s="96">
        <f>IF($C100="","",IFERROR(INDEX(INVENTARIO!$C$7:$C$26,MATCH($C100,INVENTARIO!$B$7:$B$26,0)),"⚠ ID no existe"))</f>
        <v/>
      </c>
      <c r="E100" s="127" t="n"/>
      <c r="F100" s="128" t="n"/>
      <c r="G100" s="129" t="n"/>
      <c r="H100" s="112">
        <f>IF($C100="","",$F100*$G100)</f>
        <v/>
      </c>
      <c r="I100" s="100" t="n"/>
      <c r="J100" s="115">
        <f>IF($C100="","",IF($I100="Tarjeta Citi",CFG_CITI,0))</f>
        <v/>
      </c>
      <c r="K100" s="112">
        <f>IF($C100="","",$H100*$J100)</f>
        <v/>
      </c>
      <c r="L100" s="114">
        <f>IF($C100="","",$H100+$K100)</f>
        <v/>
      </c>
      <c r="M100" s="113">
        <f>IF(OR($C100="",N($F100)=0),"",$L100/$F100)</f>
        <v/>
      </c>
      <c r="N100" s="127" t="n"/>
    </row>
    <row r="101">
      <c r="B101" s="101" t="n"/>
      <c r="C101" s="100" t="n"/>
      <c r="D101" s="96">
        <f>IF($C101="","",IFERROR(INDEX(INVENTARIO!$C$7:$C$26,MATCH($C101,INVENTARIO!$B$7:$B$26,0)),"⚠ ID no existe"))</f>
        <v/>
      </c>
      <c r="E101" s="127" t="n"/>
      <c r="F101" s="128" t="n"/>
      <c r="G101" s="129" t="n"/>
      <c r="H101" s="112">
        <f>IF($C101="","",$F101*$G101)</f>
        <v/>
      </c>
      <c r="I101" s="100" t="n"/>
      <c r="J101" s="115">
        <f>IF($C101="","",IF($I101="Tarjeta Citi",CFG_CITI,0))</f>
        <v/>
      </c>
      <c r="K101" s="112">
        <f>IF($C101="","",$H101*$J101)</f>
        <v/>
      </c>
      <c r="L101" s="114">
        <f>IF($C101="","",$H101+$K101)</f>
        <v/>
      </c>
      <c r="M101" s="113">
        <f>IF(OR($C101="",N($F101)=0),"",$L101/$F101)</f>
        <v/>
      </c>
      <c r="N101" s="127" t="n"/>
    </row>
    <row r="102">
      <c r="B102" s="101" t="n"/>
      <c r="C102" s="100" t="n"/>
      <c r="D102" s="96">
        <f>IF($C102="","",IFERROR(INDEX(INVENTARIO!$C$7:$C$26,MATCH($C102,INVENTARIO!$B$7:$B$26,0)),"⚠ ID no existe"))</f>
        <v/>
      </c>
      <c r="E102" s="127" t="n"/>
      <c r="F102" s="128" t="n"/>
      <c r="G102" s="129" t="n"/>
      <c r="H102" s="112">
        <f>IF($C102="","",$F102*$G102)</f>
        <v/>
      </c>
      <c r="I102" s="100" t="n"/>
      <c r="J102" s="115">
        <f>IF($C102="","",IF($I102="Tarjeta Citi",CFG_CITI,0))</f>
        <v/>
      </c>
      <c r="K102" s="112">
        <f>IF($C102="","",$H102*$J102)</f>
        <v/>
      </c>
      <c r="L102" s="114">
        <f>IF($C102="","",$H102+$K102)</f>
        <v/>
      </c>
      <c r="M102" s="113">
        <f>IF(OR($C102="",N($F102)=0),"",$L102/$F102)</f>
        <v/>
      </c>
      <c r="N102" s="127" t="n"/>
    </row>
    <row r="103">
      <c r="B103" s="101" t="n"/>
      <c r="C103" s="100" t="n"/>
      <c r="D103" s="96">
        <f>IF($C103="","",IFERROR(INDEX(INVENTARIO!$C$7:$C$26,MATCH($C103,INVENTARIO!$B$7:$B$26,0)),"⚠ ID no existe"))</f>
        <v/>
      </c>
      <c r="E103" s="127" t="n"/>
      <c r="F103" s="128" t="n"/>
      <c r="G103" s="129" t="n"/>
      <c r="H103" s="112">
        <f>IF($C103="","",$F103*$G103)</f>
        <v/>
      </c>
      <c r="I103" s="100" t="n"/>
      <c r="J103" s="115">
        <f>IF($C103="","",IF($I103="Tarjeta Citi",CFG_CITI,0))</f>
        <v/>
      </c>
      <c r="K103" s="112">
        <f>IF($C103="","",$H103*$J103)</f>
        <v/>
      </c>
      <c r="L103" s="114">
        <f>IF($C103="","",$H103+$K103)</f>
        <v/>
      </c>
      <c r="M103" s="113">
        <f>IF(OR($C103="",N($F103)=0),"",$L103/$F103)</f>
        <v/>
      </c>
      <c r="N103" s="127" t="n"/>
    </row>
    <row r="104">
      <c r="B104" s="101" t="n"/>
      <c r="C104" s="100" t="n"/>
      <c r="D104" s="96">
        <f>IF($C104="","",IFERROR(INDEX(INVENTARIO!$C$7:$C$26,MATCH($C104,INVENTARIO!$B$7:$B$26,0)),"⚠ ID no existe"))</f>
        <v/>
      </c>
      <c r="E104" s="127" t="n"/>
      <c r="F104" s="128" t="n"/>
      <c r="G104" s="129" t="n"/>
      <c r="H104" s="112">
        <f>IF($C104="","",$F104*$G104)</f>
        <v/>
      </c>
      <c r="I104" s="100" t="n"/>
      <c r="J104" s="115">
        <f>IF($C104="","",IF($I104="Tarjeta Citi",CFG_CITI,0))</f>
        <v/>
      </c>
      <c r="K104" s="112">
        <f>IF($C104="","",$H104*$J104)</f>
        <v/>
      </c>
      <c r="L104" s="114">
        <f>IF($C104="","",$H104+$K104)</f>
        <v/>
      </c>
      <c r="M104" s="113">
        <f>IF(OR($C104="",N($F104)=0),"",$L104/$F104)</f>
        <v/>
      </c>
      <c r="N104" s="127" t="n"/>
    </row>
    <row r="105">
      <c r="B105" s="101" t="n"/>
      <c r="C105" s="100" t="n"/>
      <c r="D105" s="96">
        <f>IF($C105="","",IFERROR(INDEX(INVENTARIO!$C$7:$C$26,MATCH($C105,INVENTARIO!$B$7:$B$26,0)),"⚠ ID no existe"))</f>
        <v/>
      </c>
      <c r="E105" s="127" t="n"/>
      <c r="F105" s="128" t="n"/>
      <c r="G105" s="129" t="n"/>
      <c r="H105" s="112">
        <f>IF($C105="","",$F105*$G105)</f>
        <v/>
      </c>
      <c r="I105" s="100" t="n"/>
      <c r="J105" s="115">
        <f>IF($C105="","",IF($I105="Tarjeta Citi",CFG_CITI,0))</f>
        <v/>
      </c>
      <c r="K105" s="112">
        <f>IF($C105="","",$H105*$J105)</f>
        <v/>
      </c>
      <c r="L105" s="114">
        <f>IF($C105="","",$H105+$K105)</f>
        <v/>
      </c>
      <c r="M105" s="113">
        <f>IF(OR($C105="",N($F105)=0),"",$L105/$F105)</f>
        <v/>
      </c>
      <c r="N105" s="127" t="n"/>
    </row>
    <row r="106">
      <c r="B106" s="101" t="n"/>
      <c r="C106" s="100" t="n"/>
      <c r="D106" s="96">
        <f>IF($C106="","",IFERROR(INDEX(INVENTARIO!$C$7:$C$26,MATCH($C106,INVENTARIO!$B$7:$B$26,0)),"⚠ ID no existe"))</f>
        <v/>
      </c>
      <c r="E106" s="127" t="n"/>
      <c r="F106" s="128" t="n"/>
      <c r="G106" s="129" t="n"/>
      <c r="H106" s="112">
        <f>IF($C106="","",$F106*$G106)</f>
        <v/>
      </c>
      <c r="I106" s="100" t="n"/>
      <c r="J106" s="115">
        <f>IF($C106="","",IF($I106="Tarjeta Citi",CFG_CITI,0))</f>
        <v/>
      </c>
      <c r="K106" s="112">
        <f>IF($C106="","",$H106*$J106)</f>
        <v/>
      </c>
      <c r="L106" s="114">
        <f>IF($C106="","",$H106+$K106)</f>
        <v/>
      </c>
      <c r="M106" s="113">
        <f>IF(OR($C106="",N($F106)=0),"",$L106/$F106)</f>
        <v/>
      </c>
      <c r="N106" s="127" t="n"/>
    </row>
    <row r="107">
      <c r="B107" s="101" t="n"/>
      <c r="C107" s="100" t="n"/>
      <c r="D107" s="96">
        <f>IF($C107="","",IFERROR(INDEX(INVENTARIO!$C$7:$C$26,MATCH($C107,INVENTARIO!$B$7:$B$26,0)),"⚠ ID no existe"))</f>
        <v/>
      </c>
      <c r="E107" s="127" t="n"/>
      <c r="F107" s="128" t="n"/>
      <c r="G107" s="129" t="n"/>
      <c r="H107" s="112">
        <f>IF($C107="","",$F107*$G107)</f>
        <v/>
      </c>
      <c r="I107" s="100" t="n"/>
      <c r="J107" s="115">
        <f>IF($C107="","",IF($I107="Tarjeta Citi",CFG_CITI,0))</f>
        <v/>
      </c>
      <c r="K107" s="112">
        <f>IF($C107="","",$H107*$J107)</f>
        <v/>
      </c>
      <c r="L107" s="114">
        <f>IF($C107="","",$H107+$K107)</f>
        <v/>
      </c>
      <c r="M107" s="113">
        <f>IF(OR($C107="",N($F107)=0),"",$L107/$F107)</f>
        <v/>
      </c>
      <c r="N107" s="127" t="n"/>
    </row>
    <row r="108">
      <c r="B108" s="101" t="n"/>
      <c r="C108" s="100" t="n"/>
      <c r="D108" s="96">
        <f>IF($C108="","",IFERROR(INDEX(INVENTARIO!$C$7:$C$26,MATCH($C108,INVENTARIO!$B$7:$B$26,0)),"⚠ ID no existe"))</f>
        <v/>
      </c>
      <c r="E108" s="127" t="n"/>
      <c r="F108" s="128" t="n"/>
      <c r="G108" s="129" t="n"/>
      <c r="H108" s="112">
        <f>IF($C108="","",$F108*$G108)</f>
        <v/>
      </c>
      <c r="I108" s="100" t="n"/>
      <c r="J108" s="115">
        <f>IF($C108="","",IF($I108="Tarjeta Citi",CFG_CITI,0))</f>
        <v/>
      </c>
      <c r="K108" s="112">
        <f>IF($C108="","",$H108*$J108)</f>
        <v/>
      </c>
      <c r="L108" s="114">
        <f>IF($C108="","",$H108+$K108)</f>
        <v/>
      </c>
      <c r="M108" s="113">
        <f>IF(OR($C108="",N($F108)=0),"",$L108/$F108)</f>
        <v/>
      </c>
      <c r="N108" s="127" t="n"/>
    </row>
    <row r="109">
      <c r="B109" s="101" t="n"/>
      <c r="C109" s="100" t="n"/>
      <c r="D109" s="96">
        <f>IF($C109="","",IFERROR(INDEX(INVENTARIO!$C$7:$C$26,MATCH($C109,INVENTARIO!$B$7:$B$26,0)),"⚠ ID no existe"))</f>
        <v/>
      </c>
      <c r="E109" s="127" t="n"/>
      <c r="F109" s="128" t="n"/>
      <c r="G109" s="129" t="n"/>
      <c r="H109" s="112">
        <f>IF($C109="","",$F109*$G109)</f>
        <v/>
      </c>
      <c r="I109" s="100" t="n"/>
      <c r="J109" s="115">
        <f>IF($C109="","",IF($I109="Tarjeta Citi",CFG_CITI,0))</f>
        <v/>
      </c>
      <c r="K109" s="112">
        <f>IF($C109="","",$H109*$J109)</f>
        <v/>
      </c>
      <c r="L109" s="114">
        <f>IF($C109="","",$H109+$K109)</f>
        <v/>
      </c>
      <c r="M109" s="113">
        <f>IF(OR($C109="",N($F109)=0),"",$L109/$F109)</f>
        <v/>
      </c>
      <c r="N109" s="127" t="n"/>
    </row>
    <row r="110">
      <c r="B110" s="101" t="n"/>
      <c r="C110" s="100" t="n"/>
      <c r="D110" s="96">
        <f>IF($C110="","",IFERROR(INDEX(INVENTARIO!$C$7:$C$26,MATCH($C110,INVENTARIO!$B$7:$B$26,0)),"⚠ ID no existe"))</f>
        <v/>
      </c>
      <c r="E110" s="127" t="n"/>
      <c r="F110" s="128" t="n"/>
      <c r="G110" s="129" t="n"/>
      <c r="H110" s="112">
        <f>IF($C110="","",$F110*$G110)</f>
        <v/>
      </c>
      <c r="I110" s="100" t="n"/>
      <c r="J110" s="115">
        <f>IF($C110="","",IF($I110="Tarjeta Citi",CFG_CITI,0))</f>
        <v/>
      </c>
      <c r="K110" s="112">
        <f>IF($C110="","",$H110*$J110)</f>
        <v/>
      </c>
      <c r="L110" s="114">
        <f>IF($C110="","",$H110+$K110)</f>
        <v/>
      </c>
      <c r="M110" s="113">
        <f>IF(OR($C110="",N($F110)=0),"",$L110/$F110)</f>
        <v/>
      </c>
      <c r="N110" s="127" t="n"/>
    </row>
    <row r="111">
      <c r="B111" s="101" t="n"/>
      <c r="C111" s="100" t="n"/>
      <c r="D111" s="96">
        <f>IF($C111="","",IFERROR(INDEX(INVENTARIO!$C$7:$C$26,MATCH($C111,INVENTARIO!$B$7:$B$26,0)),"⚠ ID no existe"))</f>
        <v/>
      </c>
      <c r="E111" s="127" t="n"/>
      <c r="F111" s="128" t="n"/>
      <c r="G111" s="129" t="n"/>
      <c r="H111" s="112">
        <f>IF($C111="","",$F111*$G111)</f>
        <v/>
      </c>
      <c r="I111" s="100" t="n"/>
      <c r="J111" s="115">
        <f>IF($C111="","",IF($I111="Tarjeta Citi",CFG_CITI,0))</f>
        <v/>
      </c>
      <c r="K111" s="112">
        <f>IF($C111="","",$H111*$J111)</f>
        <v/>
      </c>
      <c r="L111" s="114">
        <f>IF($C111="","",$H111+$K111)</f>
        <v/>
      </c>
      <c r="M111" s="113">
        <f>IF(OR($C111="",N($F111)=0),"",$L111/$F111)</f>
        <v/>
      </c>
      <c r="N111" s="127" t="n"/>
    </row>
    <row r="112">
      <c r="B112" s="101" t="n"/>
      <c r="C112" s="100" t="n"/>
      <c r="D112" s="96">
        <f>IF($C112="","",IFERROR(INDEX(INVENTARIO!$C$7:$C$26,MATCH($C112,INVENTARIO!$B$7:$B$26,0)),"⚠ ID no existe"))</f>
        <v/>
      </c>
      <c r="E112" s="127" t="n"/>
      <c r="F112" s="128" t="n"/>
      <c r="G112" s="129" t="n"/>
      <c r="H112" s="112">
        <f>IF($C112="","",$F112*$G112)</f>
        <v/>
      </c>
      <c r="I112" s="100" t="n"/>
      <c r="J112" s="115">
        <f>IF($C112="","",IF($I112="Tarjeta Citi",CFG_CITI,0))</f>
        <v/>
      </c>
      <c r="K112" s="112">
        <f>IF($C112="","",$H112*$J112)</f>
        <v/>
      </c>
      <c r="L112" s="114">
        <f>IF($C112="","",$H112+$K112)</f>
        <v/>
      </c>
      <c r="M112" s="113">
        <f>IF(OR($C112="",N($F112)=0),"",$L112/$F112)</f>
        <v/>
      </c>
      <c r="N112" s="127" t="n"/>
    </row>
    <row r="113">
      <c r="B113" s="101" t="n"/>
      <c r="C113" s="100" t="n"/>
      <c r="D113" s="96">
        <f>IF($C113="","",IFERROR(INDEX(INVENTARIO!$C$7:$C$26,MATCH($C113,INVENTARIO!$B$7:$B$26,0)),"⚠ ID no existe"))</f>
        <v/>
      </c>
      <c r="E113" s="127" t="n"/>
      <c r="F113" s="128" t="n"/>
      <c r="G113" s="129" t="n"/>
      <c r="H113" s="112">
        <f>IF($C113="","",$F113*$G113)</f>
        <v/>
      </c>
      <c r="I113" s="100" t="n"/>
      <c r="J113" s="115">
        <f>IF($C113="","",IF($I113="Tarjeta Citi",CFG_CITI,0))</f>
        <v/>
      </c>
      <c r="K113" s="112">
        <f>IF($C113="","",$H113*$J113)</f>
        <v/>
      </c>
      <c r="L113" s="114">
        <f>IF($C113="","",$H113+$K113)</f>
        <v/>
      </c>
      <c r="M113" s="113">
        <f>IF(OR($C113="",N($F113)=0),"",$L113/$F113)</f>
        <v/>
      </c>
      <c r="N113" s="127" t="n"/>
    </row>
    <row r="114">
      <c r="B114" s="101" t="n"/>
      <c r="C114" s="100" t="n"/>
      <c r="D114" s="96">
        <f>IF($C114="","",IFERROR(INDEX(INVENTARIO!$C$7:$C$26,MATCH($C114,INVENTARIO!$B$7:$B$26,0)),"⚠ ID no existe"))</f>
        <v/>
      </c>
      <c r="E114" s="127" t="n"/>
      <c r="F114" s="128" t="n"/>
      <c r="G114" s="129" t="n"/>
      <c r="H114" s="112">
        <f>IF($C114="","",$F114*$G114)</f>
        <v/>
      </c>
      <c r="I114" s="100" t="n"/>
      <c r="J114" s="115">
        <f>IF($C114="","",IF($I114="Tarjeta Citi",CFG_CITI,0))</f>
        <v/>
      </c>
      <c r="K114" s="112">
        <f>IF($C114="","",$H114*$J114)</f>
        <v/>
      </c>
      <c r="L114" s="114">
        <f>IF($C114="","",$H114+$K114)</f>
        <v/>
      </c>
      <c r="M114" s="113">
        <f>IF(OR($C114="",N($F114)=0),"",$L114/$F114)</f>
        <v/>
      </c>
      <c r="N114" s="127" t="n"/>
    </row>
    <row r="115">
      <c r="B115" s="101" t="n"/>
      <c r="C115" s="100" t="n"/>
      <c r="D115" s="96">
        <f>IF($C115="","",IFERROR(INDEX(INVENTARIO!$C$7:$C$26,MATCH($C115,INVENTARIO!$B$7:$B$26,0)),"⚠ ID no existe"))</f>
        <v/>
      </c>
      <c r="E115" s="127" t="n"/>
      <c r="F115" s="128" t="n"/>
      <c r="G115" s="129" t="n"/>
      <c r="H115" s="112">
        <f>IF($C115="","",$F115*$G115)</f>
        <v/>
      </c>
      <c r="I115" s="100" t="n"/>
      <c r="J115" s="115">
        <f>IF($C115="","",IF($I115="Tarjeta Citi",CFG_CITI,0))</f>
        <v/>
      </c>
      <c r="K115" s="112">
        <f>IF($C115="","",$H115*$J115)</f>
        <v/>
      </c>
      <c r="L115" s="114">
        <f>IF($C115="","",$H115+$K115)</f>
        <v/>
      </c>
      <c r="M115" s="113">
        <f>IF(OR($C115="",N($F115)=0),"",$L115/$F115)</f>
        <v/>
      </c>
      <c r="N115" s="127" t="n"/>
    </row>
    <row r="116">
      <c r="B116" s="101" t="n"/>
      <c r="C116" s="100" t="n"/>
      <c r="D116" s="96">
        <f>IF($C116="","",IFERROR(INDEX(INVENTARIO!$C$7:$C$26,MATCH($C116,INVENTARIO!$B$7:$B$26,0)),"⚠ ID no existe"))</f>
        <v/>
      </c>
      <c r="E116" s="127" t="n"/>
      <c r="F116" s="128" t="n"/>
      <c r="G116" s="129" t="n"/>
      <c r="H116" s="112">
        <f>IF($C116="","",$F116*$G116)</f>
        <v/>
      </c>
      <c r="I116" s="100" t="n"/>
      <c r="J116" s="115">
        <f>IF($C116="","",IF($I116="Tarjeta Citi",CFG_CITI,0))</f>
        <v/>
      </c>
      <c r="K116" s="112">
        <f>IF($C116="","",$H116*$J116)</f>
        <v/>
      </c>
      <c r="L116" s="114">
        <f>IF($C116="","",$H116+$K116)</f>
        <v/>
      </c>
      <c r="M116" s="113">
        <f>IF(OR($C116="",N($F116)=0),"",$L116/$F116)</f>
        <v/>
      </c>
      <c r="N116" s="127" t="n"/>
    </row>
    <row r="117">
      <c r="B117" s="101" t="n"/>
      <c r="C117" s="100" t="n"/>
      <c r="D117" s="96">
        <f>IF($C117="","",IFERROR(INDEX(INVENTARIO!$C$7:$C$26,MATCH($C117,INVENTARIO!$B$7:$B$26,0)),"⚠ ID no existe"))</f>
        <v/>
      </c>
      <c r="E117" s="127" t="n"/>
      <c r="F117" s="128" t="n"/>
      <c r="G117" s="129" t="n"/>
      <c r="H117" s="112">
        <f>IF($C117="","",$F117*$G117)</f>
        <v/>
      </c>
      <c r="I117" s="100" t="n"/>
      <c r="J117" s="115">
        <f>IF($C117="","",IF($I117="Tarjeta Citi",CFG_CITI,0))</f>
        <v/>
      </c>
      <c r="K117" s="112">
        <f>IF($C117="","",$H117*$J117)</f>
        <v/>
      </c>
      <c r="L117" s="114">
        <f>IF($C117="","",$H117+$K117)</f>
        <v/>
      </c>
      <c r="M117" s="113">
        <f>IF(OR($C117="",N($F117)=0),"",$L117/$F117)</f>
        <v/>
      </c>
      <c r="N117" s="127" t="n"/>
    </row>
    <row r="118">
      <c r="B118" s="101" t="n"/>
      <c r="C118" s="100" t="n"/>
      <c r="D118" s="96">
        <f>IF($C118="","",IFERROR(INDEX(INVENTARIO!$C$7:$C$26,MATCH($C118,INVENTARIO!$B$7:$B$26,0)),"⚠ ID no existe"))</f>
        <v/>
      </c>
      <c r="E118" s="127" t="n"/>
      <c r="F118" s="128" t="n"/>
      <c r="G118" s="129" t="n"/>
      <c r="H118" s="112">
        <f>IF($C118="","",$F118*$G118)</f>
        <v/>
      </c>
      <c r="I118" s="100" t="n"/>
      <c r="J118" s="115">
        <f>IF($C118="","",IF($I118="Tarjeta Citi",CFG_CITI,0))</f>
        <v/>
      </c>
      <c r="K118" s="112">
        <f>IF($C118="","",$H118*$J118)</f>
        <v/>
      </c>
      <c r="L118" s="114">
        <f>IF($C118="","",$H118+$K118)</f>
        <v/>
      </c>
      <c r="M118" s="113">
        <f>IF(OR($C118="",N($F118)=0),"",$L118/$F118)</f>
        <v/>
      </c>
      <c r="N118" s="127" t="n"/>
    </row>
    <row r="119">
      <c r="B119" s="101" t="n"/>
      <c r="C119" s="100" t="n"/>
      <c r="D119" s="96">
        <f>IF($C119="","",IFERROR(INDEX(INVENTARIO!$C$7:$C$26,MATCH($C119,INVENTARIO!$B$7:$B$26,0)),"⚠ ID no existe"))</f>
        <v/>
      </c>
      <c r="E119" s="127" t="n"/>
      <c r="F119" s="128" t="n"/>
      <c r="G119" s="129" t="n"/>
      <c r="H119" s="112">
        <f>IF($C119="","",$F119*$G119)</f>
        <v/>
      </c>
      <c r="I119" s="100" t="n"/>
      <c r="J119" s="115">
        <f>IF($C119="","",IF($I119="Tarjeta Citi",CFG_CITI,0))</f>
        <v/>
      </c>
      <c r="K119" s="112">
        <f>IF($C119="","",$H119*$J119)</f>
        <v/>
      </c>
      <c r="L119" s="114">
        <f>IF($C119="","",$H119+$K119)</f>
        <v/>
      </c>
      <c r="M119" s="113">
        <f>IF(OR($C119="",N($F119)=0),"",$L119/$F119)</f>
        <v/>
      </c>
      <c r="N119" s="127" t="n"/>
    </row>
    <row r="120">
      <c r="B120" s="101" t="n"/>
      <c r="C120" s="100" t="n"/>
      <c r="D120" s="96">
        <f>IF($C120="","",IFERROR(INDEX(INVENTARIO!$C$7:$C$26,MATCH($C120,INVENTARIO!$B$7:$B$26,0)),"⚠ ID no existe"))</f>
        <v/>
      </c>
      <c r="E120" s="127" t="n"/>
      <c r="F120" s="128" t="n"/>
      <c r="G120" s="129" t="n"/>
      <c r="H120" s="112">
        <f>IF($C120="","",$F120*$G120)</f>
        <v/>
      </c>
      <c r="I120" s="100" t="n"/>
      <c r="J120" s="115">
        <f>IF($C120="","",IF($I120="Tarjeta Citi",CFG_CITI,0))</f>
        <v/>
      </c>
      <c r="K120" s="112">
        <f>IF($C120="","",$H120*$J120)</f>
        <v/>
      </c>
      <c r="L120" s="114">
        <f>IF($C120="","",$H120+$K120)</f>
        <v/>
      </c>
      <c r="M120" s="113">
        <f>IF(OR($C120="",N($F120)=0),"",$L120/$F120)</f>
        <v/>
      </c>
      <c r="N120" s="127" t="n"/>
    </row>
    <row r="121">
      <c r="B121" s="101" t="n"/>
      <c r="C121" s="100" t="n"/>
      <c r="D121" s="96">
        <f>IF($C121="","",IFERROR(INDEX(INVENTARIO!$C$7:$C$26,MATCH($C121,INVENTARIO!$B$7:$B$26,0)),"⚠ ID no existe"))</f>
        <v/>
      </c>
      <c r="E121" s="127" t="n"/>
      <c r="F121" s="128" t="n"/>
      <c r="G121" s="129" t="n"/>
      <c r="H121" s="112">
        <f>IF($C121="","",$F121*$G121)</f>
        <v/>
      </c>
      <c r="I121" s="100" t="n"/>
      <c r="J121" s="115">
        <f>IF($C121="","",IF($I121="Tarjeta Citi",CFG_CITI,0))</f>
        <v/>
      </c>
      <c r="K121" s="112">
        <f>IF($C121="","",$H121*$J121)</f>
        <v/>
      </c>
      <c r="L121" s="114">
        <f>IF($C121="","",$H121+$K121)</f>
        <v/>
      </c>
      <c r="M121" s="113">
        <f>IF(OR($C121="",N($F121)=0),"",$L121/$F121)</f>
        <v/>
      </c>
      <c r="N121" s="127" t="n"/>
    </row>
    <row r="122">
      <c r="B122" s="101" t="n"/>
      <c r="C122" s="100" t="n"/>
      <c r="D122" s="96">
        <f>IF($C122="","",IFERROR(INDEX(INVENTARIO!$C$7:$C$26,MATCH($C122,INVENTARIO!$B$7:$B$26,0)),"⚠ ID no existe"))</f>
        <v/>
      </c>
      <c r="E122" s="127" t="n"/>
      <c r="F122" s="128" t="n"/>
      <c r="G122" s="129" t="n"/>
      <c r="H122" s="112">
        <f>IF($C122="","",$F122*$G122)</f>
        <v/>
      </c>
      <c r="I122" s="100" t="n"/>
      <c r="J122" s="115">
        <f>IF($C122="","",IF($I122="Tarjeta Citi",CFG_CITI,0))</f>
        <v/>
      </c>
      <c r="K122" s="112">
        <f>IF($C122="","",$H122*$J122)</f>
        <v/>
      </c>
      <c r="L122" s="114">
        <f>IF($C122="","",$H122+$K122)</f>
        <v/>
      </c>
      <c r="M122" s="113">
        <f>IF(OR($C122="",N($F122)=0),"",$L122/$F122)</f>
        <v/>
      </c>
      <c r="N122" s="127" t="n"/>
    </row>
    <row r="123">
      <c r="B123" s="101" t="n"/>
      <c r="C123" s="100" t="n"/>
      <c r="D123" s="96">
        <f>IF($C123="","",IFERROR(INDEX(INVENTARIO!$C$7:$C$26,MATCH($C123,INVENTARIO!$B$7:$B$26,0)),"⚠ ID no existe"))</f>
        <v/>
      </c>
      <c r="E123" s="127" t="n"/>
      <c r="F123" s="128" t="n"/>
      <c r="G123" s="129" t="n"/>
      <c r="H123" s="112">
        <f>IF($C123="","",$F123*$G123)</f>
        <v/>
      </c>
      <c r="I123" s="100" t="n"/>
      <c r="J123" s="115">
        <f>IF($C123="","",IF($I123="Tarjeta Citi",CFG_CITI,0))</f>
        <v/>
      </c>
      <c r="K123" s="112">
        <f>IF($C123="","",$H123*$J123)</f>
        <v/>
      </c>
      <c r="L123" s="114">
        <f>IF($C123="","",$H123+$K123)</f>
        <v/>
      </c>
      <c r="M123" s="113">
        <f>IF(OR($C123="",N($F123)=0),"",$L123/$F123)</f>
        <v/>
      </c>
      <c r="N123" s="127" t="n"/>
    </row>
    <row r="124">
      <c r="B124" s="101" t="n"/>
      <c r="C124" s="100" t="n"/>
      <c r="D124" s="96">
        <f>IF($C124="","",IFERROR(INDEX(INVENTARIO!$C$7:$C$26,MATCH($C124,INVENTARIO!$B$7:$B$26,0)),"⚠ ID no existe"))</f>
        <v/>
      </c>
      <c r="E124" s="127" t="n"/>
      <c r="F124" s="128" t="n"/>
      <c r="G124" s="129" t="n"/>
      <c r="H124" s="112">
        <f>IF($C124="","",$F124*$G124)</f>
        <v/>
      </c>
      <c r="I124" s="100" t="n"/>
      <c r="J124" s="115">
        <f>IF($C124="","",IF($I124="Tarjeta Citi",CFG_CITI,0))</f>
        <v/>
      </c>
      <c r="K124" s="112">
        <f>IF($C124="","",$H124*$J124)</f>
        <v/>
      </c>
      <c r="L124" s="114">
        <f>IF($C124="","",$H124+$K124)</f>
        <v/>
      </c>
      <c r="M124" s="113">
        <f>IF(OR($C124="",N($F124)=0),"",$L124/$F124)</f>
        <v/>
      </c>
      <c r="N124" s="127" t="n"/>
    </row>
    <row r="125">
      <c r="B125" s="101" t="n"/>
      <c r="C125" s="100" t="n"/>
      <c r="D125" s="96">
        <f>IF($C125="","",IFERROR(INDEX(INVENTARIO!$C$7:$C$26,MATCH($C125,INVENTARIO!$B$7:$B$26,0)),"⚠ ID no existe"))</f>
        <v/>
      </c>
      <c r="E125" s="127" t="n"/>
      <c r="F125" s="128" t="n"/>
      <c r="G125" s="129" t="n"/>
      <c r="H125" s="112">
        <f>IF($C125="","",$F125*$G125)</f>
        <v/>
      </c>
      <c r="I125" s="100" t="n"/>
      <c r="J125" s="115">
        <f>IF($C125="","",IF($I125="Tarjeta Citi",CFG_CITI,0))</f>
        <v/>
      </c>
      <c r="K125" s="112">
        <f>IF($C125="","",$H125*$J125)</f>
        <v/>
      </c>
      <c r="L125" s="114">
        <f>IF($C125="","",$H125+$K125)</f>
        <v/>
      </c>
      <c r="M125" s="113">
        <f>IF(OR($C125="",N($F125)=0),"",$L125/$F125)</f>
        <v/>
      </c>
      <c r="N125" s="127" t="n"/>
    </row>
    <row r="126">
      <c r="B126" s="101" t="n"/>
      <c r="C126" s="100" t="n"/>
      <c r="D126" s="96">
        <f>IF($C126="","",IFERROR(INDEX(INVENTARIO!$C$7:$C$26,MATCH($C126,INVENTARIO!$B$7:$B$26,0)),"⚠ ID no existe"))</f>
        <v/>
      </c>
      <c r="E126" s="127" t="n"/>
      <c r="F126" s="128" t="n"/>
      <c r="G126" s="129" t="n"/>
      <c r="H126" s="112">
        <f>IF($C126="","",$F126*$G126)</f>
        <v/>
      </c>
      <c r="I126" s="100" t="n"/>
      <c r="J126" s="115">
        <f>IF($C126="","",IF($I126="Tarjeta Citi",CFG_CITI,0))</f>
        <v/>
      </c>
      <c r="K126" s="112">
        <f>IF($C126="","",$H126*$J126)</f>
        <v/>
      </c>
      <c r="L126" s="114">
        <f>IF($C126="","",$H126+$K126)</f>
        <v/>
      </c>
      <c r="M126" s="113">
        <f>IF(OR($C126="",N($F126)=0),"",$L126/$F126)</f>
        <v/>
      </c>
      <c r="N126" s="127" t="n"/>
    </row>
    <row r="127">
      <c r="B127" s="101" t="n"/>
      <c r="C127" s="100" t="n"/>
      <c r="D127" s="96">
        <f>IF($C127="","",IFERROR(INDEX(INVENTARIO!$C$7:$C$26,MATCH($C127,INVENTARIO!$B$7:$B$26,0)),"⚠ ID no existe"))</f>
        <v/>
      </c>
      <c r="E127" s="127" t="n"/>
      <c r="F127" s="128" t="n"/>
      <c r="G127" s="129" t="n"/>
      <c r="H127" s="112">
        <f>IF($C127="","",$F127*$G127)</f>
        <v/>
      </c>
      <c r="I127" s="100" t="n"/>
      <c r="J127" s="115">
        <f>IF($C127="","",IF($I127="Tarjeta Citi",CFG_CITI,0))</f>
        <v/>
      </c>
      <c r="K127" s="112">
        <f>IF($C127="","",$H127*$J127)</f>
        <v/>
      </c>
      <c r="L127" s="114">
        <f>IF($C127="","",$H127+$K127)</f>
        <v/>
      </c>
      <c r="M127" s="113">
        <f>IF(OR($C127="",N($F127)=0),"",$L127/$F127)</f>
        <v/>
      </c>
      <c r="N127" s="127" t="n"/>
    </row>
    <row r="128">
      <c r="B128" s="101" t="n"/>
      <c r="C128" s="100" t="n"/>
      <c r="D128" s="96">
        <f>IF($C128="","",IFERROR(INDEX(INVENTARIO!$C$7:$C$26,MATCH($C128,INVENTARIO!$B$7:$B$26,0)),"⚠ ID no existe"))</f>
        <v/>
      </c>
      <c r="E128" s="127" t="n"/>
      <c r="F128" s="128" t="n"/>
      <c r="G128" s="129" t="n"/>
      <c r="H128" s="112">
        <f>IF($C128="","",$F128*$G128)</f>
        <v/>
      </c>
      <c r="I128" s="100" t="n"/>
      <c r="J128" s="115">
        <f>IF($C128="","",IF($I128="Tarjeta Citi",CFG_CITI,0))</f>
        <v/>
      </c>
      <c r="K128" s="112">
        <f>IF($C128="","",$H128*$J128)</f>
        <v/>
      </c>
      <c r="L128" s="114">
        <f>IF($C128="","",$H128+$K128)</f>
        <v/>
      </c>
      <c r="M128" s="113">
        <f>IF(OR($C128="",N($F128)=0),"",$L128/$F128)</f>
        <v/>
      </c>
      <c r="N128" s="127" t="n"/>
    </row>
    <row r="129">
      <c r="B129" s="101" t="n"/>
      <c r="C129" s="100" t="n"/>
      <c r="D129" s="96">
        <f>IF($C129="","",IFERROR(INDEX(INVENTARIO!$C$7:$C$26,MATCH($C129,INVENTARIO!$B$7:$B$26,0)),"⚠ ID no existe"))</f>
        <v/>
      </c>
      <c r="E129" s="127" t="n"/>
      <c r="F129" s="128" t="n"/>
      <c r="G129" s="129" t="n"/>
      <c r="H129" s="112">
        <f>IF($C129="","",$F129*$G129)</f>
        <v/>
      </c>
      <c r="I129" s="100" t="n"/>
      <c r="J129" s="115">
        <f>IF($C129="","",IF($I129="Tarjeta Citi",CFG_CITI,0))</f>
        <v/>
      </c>
      <c r="K129" s="112">
        <f>IF($C129="","",$H129*$J129)</f>
        <v/>
      </c>
      <c r="L129" s="114">
        <f>IF($C129="","",$H129+$K129)</f>
        <v/>
      </c>
      <c r="M129" s="113">
        <f>IF(OR($C129="",N($F129)=0),"",$L129/$F129)</f>
        <v/>
      </c>
      <c r="N129" s="127" t="n"/>
    </row>
    <row r="130">
      <c r="B130" s="101" t="n"/>
      <c r="C130" s="100" t="n"/>
      <c r="D130" s="96">
        <f>IF($C130="","",IFERROR(INDEX(INVENTARIO!$C$7:$C$26,MATCH($C130,INVENTARIO!$B$7:$B$26,0)),"⚠ ID no existe"))</f>
        <v/>
      </c>
      <c r="E130" s="127" t="n"/>
      <c r="F130" s="128" t="n"/>
      <c r="G130" s="129" t="n"/>
      <c r="H130" s="112">
        <f>IF($C130="","",$F130*$G130)</f>
        <v/>
      </c>
      <c r="I130" s="100" t="n"/>
      <c r="J130" s="115">
        <f>IF($C130="","",IF($I130="Tarjeta Citi",CFG_CITI,0))</f>
        <v/>
      </c>
      <c r="K130" s="112">
        <f>IF($C130="","",$H130*$J130)</f>
        <v/>
      </c>
      <c r="L130" s="114">
        <f>IF($C130="","",$H130+$K130)</f>
        <v/>
      </c>
      <c r="M130" s="113">
        <f>IF(OR($C130="",N($F130)=0),"",$L130/$F130)</f>
        <v/>
      </c>
      <c r="N130" s="127" t="n"/>
    </row>
    <row r="131">
      <c r="B131" s="101" t="n"/>
      <c r="C131" s="100" t="n"/>
      <c r="D131" s="96">
        <f>IF($C131="","",IFERROR(INDEX(INVENTARIO!$C$7:$C$26,MATCH($C131,INVENTARIO!$B$7:$B$26,0)),"⚠ ID no existe"))</f>
        <v/>
      </c>
      <c r="E131" s="127" t="n"/>
      <c r="F131" s="128" t="n"/>
      <c r="G131" s="129" t="n"/>
      <c r="H131" s="112">
        <f>IF($C131="","",$F131*$G131)</f>
        <v/>
      </c>
      <c r="I131" s="100" t="n"/>
      <c r="J131" s="115">
        <f>IF($C131="","",IF($I131="Tarjeta Citi",CFG_CITI,0))</f>
        <v/>
      </c>
      <c r="K131" s="112">
        <f>IF($C131="","",$H131*$J131)</f>
        <v/>
      </c>
      <c r="L131" s="114">
        <f>IF($C131="","",$H131+$K131)</f>
        <v/>
      </c>
      <c r="M131" s="113">
        <f>IF(OR($C131="",N($F131)=0),"",$L131/$F131)</f>
        <v/>
      </c>
      <c r="N131" s="127" t="n"/>
    </row>
    <row r="132">
      <c r="B132" s="101" t="n"/>
      <c r="C132" s="100" t="n"/>
      <c r="D132" s="96">
        <f>IF($C132="","",IFERROR(INDEX(INVENTARIO!$C$7:$C$26,MATCH($C132,INVENTARIO!$B$7:$B$26,0)),"⚠ ID no existe"))</f>
        <v/>
      </c>
      <c r="E132" s="127" t="n"/>
      <c r="F132" s="128" t="n"/>
      <c r="G132" s="129" t="n"/>
      <c r="H132" s="112">
        <f>IF($C132="","",$F132*$G132)</f>
        <v/>
      </c>
      <c r="I132" s="100" t="n"/>
      <c r="J132" s="115">
        <f>IF($C132="","",IF($I132="Tarjeta Citi",CFG_CITI,0))</f>
        <v/>
      </c>
      <c r="K132" s="112">
        <f>IF($C132="","",$H132*$J132)</f>
        <v/>
      </c>
      <c r="L132" s="114">
        <f>IF($C132="","",$H132+$K132)</f>
        <v/>
      </c>
      <c r="M132" s="113">
        <f>IF(OR($C132="",N($F132)=0),"",$L132/$F132)</f>
        <v/>
      </c>
      <c r="N132" s="127" t="n"/>
    </row>
    <row r="133">
      <c r="B133" s="101" t="n"/>
      <c r="C133" s="100" t="n"/>
      <c r="D133" s="96">
        <f>IF($C133="","",IFERROR(INDEX(INVENTARIO!$C$7:$C$26,MATCH($C133,INVENTARIO!$B$7:$B$26,0)),"⚠ ID no existe"))</f>
        <v/>
      </c>
      <c r="E133" s="127" t="n"/>
      <c r="F133" s="128" t="n"/>
      <c r="G133" s="129" t="n"/>
      <c r="H133" s="112">
        <f>IF($C133="","",$F133*$G133)</f>
        <v/>
      </c>
      <c r="I133" s="100" t="n"/>
      <c r="J133" s="115">
        <f>IF($C133="","",IF($I133="Tarjeta Citi",CFG_CITI,0))</f>
        <v/>
      </c>
      <c r="K133" s="112">
        <f>IF($C133="","",$H133*$J133)</f>
        <v/>
      </c>
      <c r="L133" s="114">
        <f>IF($C133="","",$H133+$K133)</f>
        <v/>
      </c>
      <c r="M133" s="113">
        <f>IF(OR($C133="",N($F133)=0),"",$L133/$F133)</f>
        <v/>
      </c>
      <c r="N133" s="127" t="n"/>
    </row>
    <row r="134">
      <c r="B134" s="101" t="n"/>
      <c r="C134" s="100" t="n"/>
      <c r="D134" s="96">
        <f>IF($C134="","",IFERROR(INDEX(INVENTARIO!$C$7:$C$26,MATCH($C134,INVENTARIO!$B$7:$B$26,0)),"⚠ ID no existe"))</f>
        <v/>
      </c>
      <c r="E134" s="127" t="n"/>
      <c r="F134" s="128" t="n"/>
      <c r="G134" s="129" t="n"/>
      <c r="H134" s="112">
        <f>IF($C134="","",$F134*$G134)</f>
        <v/>
      </c>
      <c r="I134" s="100" t="n"/>
      <c r="J134" s="115">
        <f>IF($C134="","",IF($I134="Tarjeta Citi",CFG_CITI,0))</f>
        <v/>
      </c>
      <c r="K134" s="112">
        <f>IF($C134="","",$H134*$J134)</f>
        <v/>
      </c>
      <c r="L134" s="114">
        <f>IF($C134="","",$H134+$K134)</f>
        <v/>
      </c>
      <c r="M134" s="113">
        <f>IF(OR($C134="",N($F134)=0),"",$L134/$F134)</f>
        <v/>
      </c>
      <c r="N134" s="127" t="n"/>
    </row>
    <row r="135">
      <c r="B135" s="101" t="n"/>
      <c r="C135" s="100" t="n"/>
      <c r="D135" s="96">
        <f>IF($C135="","",IFERROR(INDEX(INVENTARIO!$C$7:$C$26,MATCH($C135,INVENTARIO!$B$7:$B$26,0)),"⚠ ID no existe"))</f>
        <v/>
      </c>
      <c r="E135" s="127" t="n"/>
      <c r="F135" s="128" t="n"/>
      <c r="G135" s="129" t="n"/>
      <c r="H135" s="112">
        <f>IF($C135="","",$F135*$G135)</f>
        <v/>
      </c>
      <c r="I135" s="100" t="n"/>
      <c r="J135" s="115">
        <f>IF($C135="","",IF($I135="Tarjeta Citi",CFG_CITI,0))</f>
        <v/>
      </c>
      <c r="K135" s="112">
        <f>IF($C135="","",$H135*$J135)</f>
        <v/>
      </c>
      <c r="L135" s="114">
        <f>IF($C135="","",$H135+$K135)</f>
        <v/>
      </c>
      <c r="M135" s="113">
        <f>IF(OR($C135="",N($F135)=0),"",$L135/$F135)</f>
        <v/>
      </c>
      <c r="N135" s="127" t="n"/>
    </row>
    <row r="136">
      <c r="B136" s="101" t="n"/>
      <c r="C136" s="100" t="n"/>
      <c r="D136" s="96">
        <f>IF($C136="","",IFERROR(INDEX(INVENTARIO!$C$7:$C$26,MATCH($C136,INVENTARIO!$B$7:$B$26,0)),"⚠ ID no existe"))</f>
        <v/>
      </c>
      <c r="E136" s="127" t="n"/>
      <c r="F136" s="128" t="n"/>
      <c r="G136" s="129" t="n"/>
      <c r="H136" s="112">
        <f>IF($C136="","",$F136*$G136)</f>
        <v/>
      </c>
      <c r="I136" s="100" t="n"/>
      <c r="J136" s="115">
        <f>IF($C136="","",IF($I136="Tarjeta Citi",CFG_CITI,0))</f>
        <v/>
      </c>
      <c r="K136" s="112">
        <f>IF($C136="","",$H136*$J136)</f>
        <v/>
      </c>
      <c r="L136" s="114">
        <f>IF($C136="","",$H136+$K136)</f>
        <v/>
      </c>
      <c r="M136" s="113">
        <f>IF(OR($C136="",N($F136)=0),"",$L136/$F136)</f>
        <v/>
      </c>
      <c r="N136" s="127" t="n"/>
    </row>
    <row r="137">
      <c r="B137" s="101" t="n"/>
      <c r="C137" s="100" t="n"/>
      <c r="D137" s="96">
        <f>IF($C137="","",IFERROR(INDEX(INVENTARIO!$C$7:$C$26,MATCH($C137,INVENTARIO!$B$7:$B$26,0)),"⚠ ID no existe"))</f>
        <v/>
      </c>
      <c r="E137" s="127" t="n"/>
      <c r="F137" s="128" t="n"/>
      <c r="G137" s="129" t="n"/>
      <c r="H137" s="112">
        <f>IF($C137="","",$F137*$G137)</f>
        <v/>
      </c>
      <c r="I137" s="100" t="n"/>
      <c r="J137" s="115">
        <f>IF($C137="","",IF($I137="Tarjeta Citi",CFG_CITI,0))</f>
        <v/>
      </c>
      <c r="K137" s="112">
        <f>IF($C137="","",$H137*$J137)</f>
        <v/>
      </c>
      <c r="L137" s="114">
        <f>IF($C137="","",$H137+$K137)</f>
        <v/>
      </c>
      <c r="M137" s="113">
        <f>IF(OR($C137="",N($F137)=0),"",$L137/$F137)</f>
        <v/>
      </c>
      <c r="N137" s="127" t="n"/>
    </row>
    <row r="138">
      <c r="B138" s="101" t="n"/>
      <c r="C138" s="100" t="n"/>
      <c r="D138" s="96">
        <f>IF($C138="","",IFERROR(INDEX(INVENTARIO!$C$7:$C$26,MATCH($C138,INVENTARIO!$B$7:$B$26,0)),"⚠ ID no existe"))</f>
        <v/>
      </c>
      <c r="E138" s="127" t="n"/>
      <c r="F138" s="128" t="n"/>
      <c r="G138" s="129" t="n"/>
      <c r="H138" s="112">
        <f>IF($C138="","",$F138*$G138)</f>
        <v/>
      </c>
      <c r="I138" s="100" t="n"/>
      <c r="J138" s="115">
        <f>IF($C138="","",IF($I138="Tarjeta Citi",CFG_CITI,0))</f>
        <v/>
      </c>
      <c r="K138" s="112">
        <f>IF($C138="","",$H138*$J138)</f>
        <v/>
      </c>
      <c r="L138" s="114">
        <f>IF($C138="","",$H138+$K138)</f>
        <v/>
      </c>
      <c r="M138" s="113">
        <f>IF(OR($C138="",N($F138)=0),"",$L138/$F138)</f>
        <v/>
      </c>
      <c r="N138" s="127" t="n"/>
    </row>
    <row r="139">
      <c r="B139" s="101" t="n"/>
      <c r="C139" s="100" t="n"/>
      <c r="D139" s="96">
        <f>IF($C139="","",IFERROR(INDEX(INVENTARIO!$C$7:$C$26,MATCH($C139,INVENTARIO!$B$7:$B$26,0)),"⚠ ID no existe"))</f>
        <v/>
      </c>
      <c r="E139" s="127" t="n"/>
      <c r="F139" s="128" t="n"/>
      <c r="G139" s="129" t="n"/>
      <c r="H139" s="112">
        <f>IF($C139="","",$F139*$G139)</f>
        <v/>
      </c>
      <c r="I139" s="100" t="n"/>
      <c r="J139" s="115">
        <f>IF($C139="","",IF($I139="Tarjeta Citi",CFG_CITI,0))</f>
        <v/>
      </c>
      <c r="K139" s="112">
        <f>IF($C139="","",$H139*$J139)</f>
        <v/>
      </c>
      <c r="L139" s="114">
        <f>IF($C139="","",$H139+$K139)</f>
        <v/>
      </c>
      <c r="M139" s="113">
        <f>IF(OR($C139="",N($F139)=0),"",$L139/$F139)</f>
        <v/>
      </c>
      <c r="N139" s="127" t="n"/>
    </row>
    <row r="140">
      <c r="B140" s="101" t="n"/>
      <c r="C140" s="100" t="n"/>
      <c r="D140" s="96">
        <f>IF($C140="","",IFERROR(INDEX(INVENTARIO!$C$7:$C$26,MATCH($C140,INVENTARIO!$B$7:$B$26,0)),"⚠ ID no existe"))</f>
        <v/>
      </c>
      <c r="E140" s="127" t="n"/>
      <c r="F140" s="128" t="n"/>
      <c r="G140" s="129" t="n"/>
      <c r="H140" s="112">
        <f>IF($C140="","",$F140*$G140)</f>
        <v/>
      </c>
      <c r="I140" s="100" t="n"/>
      <c r="J140" s="115">
        <f>IF($C140="","",IF($I140="Tarjeta Citi",CFG_CITI,0))</f>
        <v/>
      </c>
      <c r="K140" s="112">
        <f>IF($C140="","",$H140*$J140)</f>
        <v/>
      </c>
      <c r="L140" s="114">
        <f>IF($C140="","",$H140+$K140)</f>
        <v/>
      </c>
      <c r="M140" s="113">
        <f>IF(OR($C140="",N($F140)=0),"",$L140/$F140)</f>
        <v/>
      </c>
      <c r="N140" s="127" t="n"/>
    </row>
    <row r="141">
      <c r="B141" s="101" t="n"/>
      <c r="C141" s="100" t="n"/>
      <c r="D141" s="96">
        <f>IF($C141="","",IFERROR(INDEX(INVENTARIO!$C$7:$C$26,MATCH($C141,INVENTARIO!$B$7:$B$26,0)),"⚠ ID no existe"))</f>
        <v/>
      </c>
      <c r="E141" s="127" t="n"/>
      <c r="F141" s="128" t="n"/>
      <c r="G141" s="129" t="n"/>
      <c r="H141" s="112">
        <f>IF($C141="","",$F141*$G141)</f>
        <v/>
      </c>
      <c r="I141" s="100" t="n"/>
      <c r="J141" s="115">
        <f>IF($C141="","",IF($I141="Tarjeta Citi",CFG_CITI,0))</f>
        <v/>
      </c>
      <c r="K141" s="112">
        <f>IF($C141="","",$H141*$J141)</f>
        <v/>
      </c>
      <c r="L141" s="114">
        <f>IF($C141="","",$H141+$K141)</f>
        <v/>
      </c>
      <c r="M141" s="113">
        <f>IF(OR($C141="",N($F141)=0),"",$L141/$F141)</f>
        <v/>
      </c>
      <c r="N141" s="127" t="n"/>
    </row>
    <row r="142">
      <c r="B142" s="101" t="n"/>
      <c r="C142" s="100" t="n"/>
      <c r="D142" s="96">
        <f>IF($C142="","",IFERROR(INDEX(INVENTARIO!$C$7:$C$26,MATCH($C142,INVENTARIO!$B$7:$B$26,0)),"⚠ ID no existe"))</f>
        <v/>
      </c>
      <c r="E142" s="127" t="n"/>
      <c r="F142" s="128" t="n"/>
      <c r="G142" s="129" t="n"/>
      <c r="H142" s="112">
        <f>IF($C142="","",$F142*$G142)</f>
        <v/>
      </c>
      <c r="I142" s="100" t="n"/>
      <c r="J142" s="115">
        <f>IF($C142="","",IF($I142="Tarjeta Citi",CFG_CITI,0))</f>
        <v/>
      </c>
      <c r="K142" s="112">
        <f>IF($C142="","",$H142*$J142)</f>
        <v/>
      </c>
      <c r="L142" s="114">
        <f>IF($C142="","",$H142+$K142)</f>
        <v/>
      </c>
      <c r="M142" s="113">
        <f>IF(OR($C142="",N($F142)=0),"",$L142/$F142)</f>
        <v/>
      </c>
      <c r="N142" s="127" t="n"/>
    </row>
    <row r="143">
      <c r="B143" s="101" t="n"/>
      <c r="C143" s="100" t="n"/>
      <c r="D143" s="96">
        <f>IF($C143="","",IFERROR(INDEX(INVENTARIO!$C$7:$C$26,MATCH($C143,INVENTARIO!$B$7:$B$26,0)),"⚠ ID no existe"))</f>
        <v/>
      </c>
      <c r="E143" s="127" t="n"/>
      <c r="F143" s="128" t="n"/>
      <c r="G143" s="129" t="n"/>
      <c r="H143" s="112">
        <f>IF($C143="","",$F143*$G143)</f>
        <v/>
      </c>
      <c r="I143" s="100" t="n"/>
      <c r="J143" s="115">
        <f>IF($C143="","",IF($I143="Tarjeta Citi",CFG_CITI,0))</f>
        <v/>
      </c>
      <c r="K143" s="112">
        <f>IF($C143="","",$H143*$J143)</f>
        <v/>
      </c>
      <c r="L143" s="114">
        <f>IF($C143="","",$H143+$K143)</f>
        <v/>
      </c>
      <c r="M143" s="113">
        <f>IF(OR($C143="",N($F143)=0),"",$L143/$F143)</f>
        <v/>
      </c>
      <c r="N143" s="127" t="n"/>
    </row>
    <row r="144">
      <c r="B144" s="101" t="n"/>
      <c r="C144" s="100" t="n"/>
      <c r="D144" s="96">
        <f>IF($C144="","",IFERROR(INDEX(INVENTARIO!$C$7:$C$26,MATCH($C144,INVENTARIO!$B$7:$B$26,0)),"⚠ ID no existe"))</f>
        <v/>
      </c>
      <c r="E144" s="127" t="n"/>
      <c r="F144" s="128" t="n"/>
      <c r="G144" s="129" t="n"/>
      <c r="H144" s="112">
        <f>IF($C144="","",$F144*$G144)</f>
        <v/>
      </c>
      <c r="I144" s="100" t="n"/>
      <c r="J144" s="115">
        <f>IF($C144="","",IF($I144="Tarjeta Citi",CFG_CITI,0))</f>
        <v/>
      </c>
      <c r="K144" s="112">
        <f>IF($C144="","",$H144*$J144)</f>
        <v/>
      </c>
      <c r="L144" s="114">
        <f>IF($C144="","",$H144+$K144)</f>
        <v/>
      </c>
      <c r="M144" s="113">
        <f>IF(OR($C144="",N($F144)=0),"",$L144/$F144)</f>
        <v/>
      </c>
      <c r="N144" s="127" t="n"/>
    </row>
    <row r="145">
      <c r="B145" s="101" t="n"/>
      <c r="C145" s="100" t="n"/>
      <c r="D145" s="96">
        <f>IF($C145="","",IFERROR(INDEX(INVENTARIO!$C$7:$C$26,MATCH($C145,INVENTARIO!$B$7:$B$26,0)),"⚠ ID no existe"))</f>
        <v/>
      </c>
      <c r="E145" s="127" t="n"/>
      <c r="F145" s="128" t="n"/>
      <c r="G145" s="129" t="n"/>
      <c r="H145" s="112">
        <f>IF($C145="","",$F145*$G145)</f>
        <v/>
      </c>
      <c r="I145" s="100" t="n"/>
      <c r="J145" s="115">
        <f>IF($C145="","",IF($I145="Tarjeta Citi",CFG_CITI,0))</f>
        <v/>
      </c>
      <c r="K145" s="112">
        <f>IF($C145="","",$H145*$J145)</f>
        <v/>
      </c>
      <c r="L145" s="114">
        <f>IF($C145="","",$H145+$K145)</f>
        <v/>
      </c>
      <c r="M145" s="113">
        <f>IF(OR($C145="",N($F145)=0),"",$L145/$F145)</f>
        <v/>
      </c>
      <c r="N145" s="127" t="n"/>
    </row>
    <row r="146">
      <c r="B146" s="101" t="n"/>
      <c r="C146" s="100" t="n"/>
      <c r="D146" s="96">
        <f>IF($C146="","",IFERROR(INDEX(INVENTARIO!$C$7:$C$26,MATCH($C146,INVENTARIO!$B$7:$B$26,0)),"⚠ ID no existe"))</f>
        <v/>
      </c>
      <c r="E146" s="127" t="n"/>
      <c r="F146" s="128" t="n"/>
      <c r="G146" s="129" t="n"/>
      <c r="H146" s="112">
        <f>IF($C146="","",$F146*$G146)</f>
        <v/>
      </c>
      <c r="I146" s="100" t="n"/>
      <c r="J146" s="115">
        <f>IF($C146="","",IF($I146="Tarjeta Citi",CFG_CITI,0))</f>
        <v/>
      </c>
      <c r="K146" s="112">
        <f>IF($C146="","",$H146*$J146)</f>
        <v/>
      </c>
      <c r="L146" s="114">
        <f>IF($C146="","",$H146+$K146)</f>
        <v/>
      </c>
      <c r="M146" s="113">
        <f>IF(OR($C146="",N($F146)=0),"",$L146/$F146)</f>
        <v/>
      </c>
      <c r="N146" s="127" t="n"/>
    </row>
    <row r="147">
      <c r="B147" s="101" t="n"/>
      <c r="C147" s="100" t="n"/>
      <c r="D147" s="96">
        <f>IF($C147="","",IFERROR(INDEX(INVENTARIO!$C$7:$C$26,MATCH($C147,INVENTARIO!$B$7:$B$26,0)),"⚠ ID no existe"))</f>
        <v/>
      </c>
      <c r="E147" s="127" t="n"/>
      <c r="F147" s="128" t="n"/>
      <c r="G147" s="129" t="n"/>
      <c r="H147" s="112">
        <f>IF($C147="","",$F147*$G147)</f>
        <v/>
      </c>
      <c r="I147" s="100" t="n"/>
      <c r="J147" s="115">
        <f>IF($C147="","",IF($I147="Tarjeta Citi",CFG_CITI,0))</f>
        <v/>
      </c>
      <c r="K147" s="112">
        <f>IF($C147="","",$H147*$J147)</f>
        <v/>
      </c>
      <c r="L147" s="114">
        <f>IF($C147="","",$H147+$K147)</f>
        <v/>
      </c>
      <c r="M147" s="113">
        <f>IF(OR($C147="",N($F147)=0),"",$L147/$F147)</f>
        <v/>
      </c>
      <c r="N147" s="127" t="n"/>
    </row>
    <row r="148">
      <c r="B148" s="101" t="n"/>
      <c r="C148" s="100" t="n"/>
      <c r="D148" s="96">
        <f>IF($C148="","",IFERROR(INDEX(INVENTARIO!$C$7:$C$26,MATCH($C148,INVENTARIO!$B$7:$B$26,0)),"⚠ ID no existe"))</f>
        <v/>
      </c>
      <c r="E148" s="127" t="n"/>
      <c r="F148" s="128" t="n"/>
      <c r="G148" s="129" t="n"/>
      <c r="H148" s="112">
        <f>IF($C148="","",$F148*$G148)</f>
        <v/>
      </c>
      <c r="I148" s="100" t="n"/>
      <c r="J148" s="115">
        <f>IF($C148="","",IF($I148="Tarjeta Citi",CFG_CITI,0))</f>
        <v/>
      </c>
      <c r="K148" s="112">
        <f>IF($C148="","",$H148*$J148)</f>
        <v/>
      </c>
      <c r="L148" s="114">
        <f>IF($C148="","",$H148+$K148)</f>
        <v/>
      </c>
      <c r="M148" s="113">
        <f>IF(OR($C148="",N($F148)=0),"",$L148/$F148)</f>
        <v/>
      </c>
      <c r="N148" s="127" t="n"/>
    </row>
    <row r="149">
      <c r="B149" s="101" t="n"/>
      <c r="C149" s="100" t="n"/>
      <c r="D149" s="96">
        <f>IF($C149="","",IFERROR(INDEX(INVENTARIO!$C$7:$C$26,MATCH($C149,INVENTARIO!$B$7:$B$26,0)),"⚠ ID no existe"))</f>
        <v/>
      </c>
      <c r="E149" s="127" t="n"/>
      <c r="F149" s="128" t="n"/>
      <c r="G149" s="129" t="n"/>
      <c r="H149" s="112">
        <f>IF($C149="","",$F149*$G149)</f>
        <v/>
      </c>
      <c r="I149" s="100" t="n"/>
      <c r="J149" s="115">
        <f>IF($C149="","",IF($I149="Tarjeta Citi",CFG_CITI,0))</f>
        <v/>
      </c>
      <c r="K149" s="112">
        <f>IF($C149="","",$H149*$J149)</f>
        <v/>
      </c>
      <c r="L149" s="114">
        <f>IF($C149="","",$H149+$K149)</f>
        <v/>
      </c>
      <c r="M149" s="113">
        <f>IF(OR($C149="",N($F149)=0),"",$L149/$F149)</f>
        <v/>
      </c>
      <c r="N149" s="127" t="n"/>
    </row>
    <row r="150">
      <c r="B150" s="101" t="n"/>
      <c r="C150" s="100" t="n"/>
      <c r="D150" s="96">
        <f>IF($C150="","",IFERROR(INDEX(INVENTARIO!$C$7:$C$26,MATCH($C150,INVENTARIO!$B$7:$B$26,0)),"⚠ ID no existe"))</f>
        <v/>
      </c>
      <c r="E150" s="127" t="n"/>
      <c r="F150" s="128" t="n"/>
      <c r="G150" s="129" t="n"/>
      <c r="H150" s="112">
        <f>IF($C150="","",$F150*$G150)</f>
        <v/>
      </c>
      <c r="I150" s="100" t="n"/>
      <c r="J150" s="115">
        <f>IF($C150="","",IF($I150="Tarjeta Citi",CFG_CITI,0))</f>
        <v/>
      </c>
      <c r="K150" s="112">
        <f>IF($C150="","",$H150*$J150)</f>
        <v/>
      </c>
      <c r="L150" s="114">
        <f>IF($C150="","",$H150+$K150)</f>
        <v/>
      </c>
      <c r="M150" s="113">
        <f>IF(OR($C150="",N($F150)=0),"",$L150/$F150)</f>
        <v/>
      </c>
      <c r="N150" s="127" t="n"/>
    </row>
    <row r="151">
      <c r="B151" s="101" t="n"/>
      <c r="C151" s="100" t="n"/>
      <c r="D151" s="96">
        <f>IF($C151="","",IFERROR(INDEX(INVENTARIO!$C$7:$C$26,MATCH($C151,INVENTARIO!$B$7:$B$26,0)),"⚠ ID no existe"))</f>
        <v/>
      </c>
      <c r="E151" s="127" t="n"/>
      <c r="F151" s="128" t="n"/>
      <c r="G151" s="129" t="n"/>
      <c r="H151" s="112">
        <f>IF($C151="","",$F151*$G151)</f>
        <v/>
      </c>
      <c r="I151" s="100" t="n"/>
      <c r="J151" s="115">
        <f>IF($C151="","",IF($I151="Tarjeta Citi",CFG_CITI,0))</f>
        <v/>
      </c>
      <c r="K151" s="112">
        <f>IF($C151="","",$H151*$J151)</f>
        <v/>
      </c>
      <c r="L151" s="114">
        <f>IF($C151="","",$H151+$K151)</f>
        <v/>
      </c>
      <c r="M151" s="113">
        <f>IF(OR($C151="",N($F151)=0),"",$L151/$F151)</f>
        <v/>
      </c>
      <c r="N151" s="127" t="n"/>
    </row>
    <row r="152">
      <c r="B152" s="101" t="n"/>
      <c r="C152" s="100" t="n"/>
      <c r="D152" s="96">
        <f>IF($C152="","",IFERROR(INDEX(INVENTARIO!$C$7:$C$26,MATCH($C152,INVENTARIO!$B$7:$B$26,0)),"⚠ ID no existe"))</f>
        <v/>
      </c>
      <c r="E152" s="127" t="n"/>
      <c r="F152" s="128" t="n"/>
      <c r="G152" s="129" t="n"/>
      <c r="H152" s="112">
        <f>IF($C152="","",$F152*$G152)</f>
        <v/>
      </c>
      <c r="I152" s="100" t="n"/>
      <c r="J152" s="115">
        <f>IF($C152="","",IF($I152="Tarjeta Citi",CFG_CITI,0))</f>
        <v/>
      </c>
      <c r="K152" s="112">
        <f>IF($C152="","",$H152*$J152)</f>
        <v/>
      </c>
      <c r="L152" s="114">
        <f>IF($C152="","",$H152+$K152)</f>
        <v/>
      </c>
      <c r="M152" s="113">
        <f>IF(OR($C152="",N($F152)=0),"",$L152/$F152)</f>
        <v/>
      </c>
      <c r="N152" s="127" t="n"/>
    </row>
    <row r="153">
      <c r="B153" s="101" t="n"/>
      <c r="C153" s="100" t="n"/>
      <c r="D153" s="96">
        <f>IF($C153="","",IFERROR(INDEX(INVENTARIO!$C$7:$C$26,MATCH($C153,INVENTARIO!$B$7:$B$26,0)),"⚠ ID no existe"))</f>
        <v/>
      </c>
      <c r="E153" s="127" t="n"/>
      <c r="F153" s="128" t="n"/>
      <c r="G153" s="129" t="n"/>
      <c r="H153" s="112">
        <f>IF($C153="","",$F153*$G153)</f>
        <v/>
      </c>
      <c r="I153" s="100" t="n"/>
      <c r="J153" s="115">
        <f>IF($C153="","",IF($I153="Tarjeta Citi",CFG_CITI,0))</f>
        <v/>
      </c>
      <c r="K153" s="112">
        <f>IF($C153="","",$H153*$J153)</f>
        <v/>
      </c>
      <c r="L153" s="114">
        <f>IF($C153="","",$H153+$K153)</f>
        <v/>
      </c>
      <c r="M153" s="113">
        <f>IF(OR($C153="",N($F153)=0),"",$L153/$F153)</f>
        <v/>
      </c>
      <c r="N153" s="127" t="n"/>
    </row>
    <row r="154">
      <c r="B154" s="101" t="n"/>
      <c r="C154" s="100" t="n"/>
      <c r="D154" s="96">
        <f>IF($C154="","",IFERROR(INDEX(INVENTARIO!$C$7:$C$26,MATCH($C154,INVENTARIO!$B$7:$B$26,0)),"⚠ ID no existe"))</f>
        <v/>
      </c>
      <c r="E154" s="127" t="n"/>
      <c r="F154" s="128" t="n"/>
      <c r="G154" s="129" t="n"/>
      <c r="H154" s="112">
        <f>IF($C154="","",$F154*$G154)</f>
        <v/>
      </c>
      <c r="I154" s="100" t="n"/>
      <c r="J154" s="115">
        <f>IF($C154="","",IF($I154="Tarjeta Citi",CFG_CITI,0))</f>
        <v/>
      </c>
      <c r="K154" s="112">
        <f>IF($C154="","",$H154*$J154)</f>
        <v/>
      </c>
      <c r="L154" s="114">
        <f>IF($C154="","",$H154+$K154)</f>
        <v/>
      </c>
      <c r="M154" s="113">
        <f>IF(OR($C154="",N($F154)=0),"",$L154/$F154)</f>
        <v/>
      </c>
      <c r="N154" s="127" t="n"/>
    </row>
    <row r="155">
      <c r="B155" s="101" t="n"/>
      <c r="C155" s="100" t="n"/>
      <c r="D155" s="96">
        <f>IF($C155="","",IFERROR(INDEX(INVENTARIO!$C$7:$C$26,MATCH($C155,INVENTARIO!$B$7:$B$26,0)),"⚠ ID no existe"))</f>
        <v/>
      </c>
      <c r="E155" s="127" t="n"/>
      <c r="F155" s="128" t="n"/>
      <c r="G155" s="129" t="n"/>
      <c r="H155" s="112">
        <f>IF($C155="","",$F155*$G155)</f>
        <v/>
      </c>
      <c r="I155" s="100" t="n"/>
      <c r="J155" s="115">
        <f>IF($C155="","",IF($I155="Tarjeta Citi",CFG_CITI,0))</f>
        <v/>
      </c>
      <c r="K155" s="112">
        <f>IF($C155="","",$H155*$J155)</f>
        <v/>
      </c>
      <c r="L155" s="114">
        <f>IF($C155="","",$H155+$K155)</f>
        <v/>
      </c>
      <c r="M155" s="113">
        <f>IF(OR($C155="",N($F155)=0),"",$L155/$F155)</f>
        <v/>
      </c>
      <c r="N155" s="127" t="n"/>
    </row>
    <row r="156">
      <c r="B156" s="101" t="n"/>
      <c r="C156" s="100" t="n"/>
      <c r="D156" s="96">
        <f>IF($C156="","",IFERROR(INDEX(INVENTARIO!$C$7:$C$26,MATCH($C156,INVENTARIO!$B$7:$B$26,0)),"⚠ ID no existe"))</f>
        <v/>
      </c>
      <c r="E156" s="127" t="n"/>
      <c r="F156" s="128" t="n"/>
      <c r="G156" s="129" t="n"/>
      <c r="H156" s="112">
        <f>IF($C156="","",$F156*$G156)</f>
        <v/>
      </c>
      <c r="I156" s="100" t="n"/>
      <c r="J156" s="115">
        <f>IF($C156="","",IF($I156="Tarjeta Citi",CFG_CITI,0))</f>
        <v/>
      </c>
      <c r="K156" s="112">
        <f>IF($C156="","",$H156*$J156)</f>
        <v/>
      </c>
      <c r="L156" s="114">
        <f>IF($C156="","",$H156+$K156)</f>
        <v/>
      </c>
      <c r="M156" s="113">
        <f>IF(OR($C156="",N($F156)=0),"",$L156/$F156)</f>
        <v/>
      </c>
      <c r="N156" s="127" t="n"/>
    </row>
    <row r="157">
      <c r="B157" s="101" t="n"/>
      <c r="C157" s="100" t="n"/>
      <c r="D157" s="96">
        <f>IF($C157="","",IFERROR(INDEX(INVENTARIO!$C$7:$C$26,MATCH($C157,INVENTARIO!$B$7:$B$26,0)),"⚠ ID no existe"))</f>
        <v/>
      </c>
      <c r="E157" s="127" t="n"/>
      <c r="F157" s="128" t="n"/>
      <c r="G157" s="129" t="n"/>
      <c r="H157" s="112">
        <f>IF($C157="","",$F157*$G157)</f>
        <v/>
      </c>
      <c r="I157" s="100" t="n"/>
      <c r="J157" s="115">
        <f>IF($C157="","",IF($I157="Tarjeta Citi",CFG_CITI,0))</f>
        <v/>
      </c>
      <c r="K157" s="112">
        <f>IF($C157="","",$H157*$J157)</f>
        <v/>
      </c>
      <c r="L157" s="114">
        <f>IF($C157="","",$H157+$K157)</f>
        <v/>
      </c>
      <c r="M157" s="113">
        <f>IF(OR($C157="",N($F157)=0),"",$L157/$F157)</f>
        <v/>
      </c>
      <c r="N157" s="127" t="n"/>
    </row>
    <row r="158">
      <c r="B158" s="101" t="n"/>
      <c r="C158" s="100" t="n"/>
      <c r="D158" s="96">
        <f>IF($C158="","",IFERROR(INDEX(INVENTARIO!$C$7:$C$26,MATCH($C158,INVENTARIO!$B$7:$B$26,0)),"⚠ ID no existe"))</f>
        <v/>
      </c>
      <c r="E158" s="127" t="n"/>
      <c r="F158" s="128" t="n"/>
      <c r="G158" s="129" t="n"/>
      <c r="H158" s="112">
        <f>IF($C158="","",$F158*$G158)</f>
        <v/>
      </c>
      <c r="I158" s="100" t="n"/>
      <c r="J158" s="115">
        <f>IF($C158="","",IF($I158="Tarjeta Citi",CFG_CITI,0))</f>
        <v/>
      </c>
      <c r="K158" s="112">
        <f>IF($C158="","",$H158*$J158)</f>
        <v/>
      </c>
      <c r="L158" s="114">
        <f>IF($C158="","",$H158+$K158)</f>
        <v/>
      </c>
      <c r="M158" s="113">
        <f>IF(OR($C158="",N($F158)=0),"",$L158/$F158)</f>
        <v/>
      </c>
      <c r="N158" s="127" t="n"/>
    </row>
    <row r="159">
      <c r="B159" s="101" t="n"/>
      <c r="C159" s="100" t="n"/>
      <c r="D159" s="96">
        <f>IF($C159="","",IFERROR(INDEX(INVENTARIO!$C$7:$C$26,MATCH($C159,INVENTARIO!$B$7:$B$26,0)),"⚠ ID no existe"))</f>
        <v/>
      </c>
      <c r="E159" s="127" t="n"/>
      <c r="F159" s="128" t="n"/>
      <c r="G159" s="129" t="n"/>
      <c r="H159" s="112">
        <f>IF($C159="","",$F159*$G159)</f>
        <v/>
      </c>
      <c r="I159" s="100" t="n"/>
      <c r="J159" s="115">
        <f>IF($C159="","",IF($I159="Tarjeta Citi",CFG_CITI,0))</f>
        <v/>
      </c>
      <c r="K159" s="112">
        <f>IF($C159="","",$H159*$J159)</f>
        <v/>
      </c>
      <c r="L159" s="114">
        <f>IF($C159="","",$H159+$K159)</f>
        <v/>
      </c>
      <c r="M159" s="113">
        <f>IF(OR($C159="",N($F159)=0),"",$L159/$F159)</f>
        <v/>
      </c>
      <c r="N159" s="127" t="n"/>
    </row>
    <row r="160">
      <c r="B160" s="101" t="n"/>
      <c r="C160" s="100" t="n"/>
      <c r="D160" s="96">
        <f>IF($C160="","",IFERROR(INDEX(INVENTARIO!$C$7:$C$26,MATCH($C160,INVENTARIO!$B$7:$B$26,0)),"⚠ ID no existe"))</f>
        <v/>
      </c>
      <c r="E160" s="127" t="n"/>
      <c r="F160" s="128" t="n"/>
      <c r="G160" s="129" t="n"/>
      <c r="H160" s="112">
        <f>IF($C160="","",$F160*$G160)</f>
        <v/>
      </c>
      <c r="I160" s="100" t="n"/>
      <c r="J160" s="115">
        <f>IF($C160="","",IF($I160="Tarjeta Citi",CFG_CITI,0))</f>
        <v/>
      </c>
      <c r="K160" s="112">
        <f>IF($C160="","",$H160*$J160)</f>
        <v/>
      </c>
      <c r="L160" s="114">
        <f>IF($C160="","",$H160+$K160)</f>
        <v/>
      </c>
      <c r="M160" s="113">
        <f>IF(OR($C160="",N($F160)=0),"",$L160/$F160)</f>
        <v/>
      </c>
      <c r="N160" s="127" t="n"/>
    </row>
    <row r="161">
      <c r="B161" s="101" t="n"/>
      <c r="C161" s="100" t="n"/>
      <c r="D161" s="96">
        <f>IF($C161="","",IFERROR(INDEX(INVENTARIO!$C$7:$C$26,MATCH($C161,INVENTARIO!$B$7:$B$26,0)),"⚠ ID no existe"))</f>
        <v/>
      </c>
      <c r="E161" s="127" t="n"/>
      <c r="F161" s="128" t="n"/>
      <c r="G161" s="129" t="n"/>
      <c r="H161" s="112">
        <f>IF($C161="","",$F161*$G161)</f>
        <v/>
      </c>
      <c r="I161" s="100" t="n"/>
      <c r="J161" s="115">
        <f>IF($C161="","",IF($I161="Tarjeta Citi",CFG_CITI,0))</f>
        <v/>
      </c>
      <c r="K161" s="112">
        <f>IF($C161="","",$H161*$J161)</f>
        <v/>
      </c>
      <c r="L161" s="114">
        <f>IF($C161="","",$H161+$K161)</f>
        <v/>
      </c>
      <c r="M161" s="113">
        <f>IF(OR($C161="",N($F161)=0),"",$L161/$F161)</f>
        <v/>
      </c>
      <c r="N161" s="127" t="n"/>
    </row>
    <row r="162">
      <c r="B162" s="101" t="n"/>
      <c r="C162" s="100" t="n"/>
      <c r="D162" s="96">
        <f>IF($C162="","",IFERROR(INDEX(INVENTARIO!$C$7:$C$26,MATCH($C162,INVENTARIO!$B$7:$B$26,0)),"⚠ ID no existe"))</f>
        <v/>
      </c>
      <c r="E162" s="127" t="n"/>
      <c r="F162" s="128" t="n"/>
      <c r="G162" s="129" t="n"/>
      <c r="H162" s="112">
        <f>IF($C162="","",$F162*$G162)</f>
        <v/>
      </c>
      <c r="I162" s="100" t="n"/>
      <c r="J162" s="115">
        <f>IF($C162="","",IF($I162="Tarjeta Citi",CFG_CITI,0))</f>
        <v/>
      </c>
      <c r="K162" s="112">
        <f>IF($C162="","",$H162*$J162)</f>
        <v/>
      </c>
      <c r="L162" s="114">
        <f>IF($C162="","",$H162+$K162)</f>
        <v/>
      </c>
      <c r="M162" s="113">
        <f>IF(OR($C162="",N($F162)=0),"",$L162/$F162)</f>
        <v/>
      </c>
      <c r="N162" s="127" t="n"/>
    </row>
    <row r="163">
      <c r="B163" s="101" t="n"/>
      <c r="C163" s="100" t="n"/>
      <c r="D163" s="96">
        <f>IF($C163="","",IFERROR(INDEX(INVENTARIO!$C$7:$C$26,MATCH($C163,INVENTARIO!$B$7:$B$26,0)),"⚠ ID no existe"))</f>
        <v/>
      </c>
      <c r="E163" s="127" t="n"/>
      <c r="F163" s="128" t="n"/>
      <c r="G163" s="129" t="n"/>
      <c r="H163" s="112">
        <f>IF($C163="","",$F163*$G163)</f>
        <v/>
      </c>
      <c r="I163" s="100" t="n"/>
      <c r="J163" s="115">
        <f>IF($C163="","",IF($I163="Tarjeta Citi",CFG_CITI,0))</f>
        <v/>
      </c>
      <c r="K163" s="112">
        <f>IF($C163="","",$H163*$J163)</f>
        <v/>
      </c>
      <c r="L163" s="114">
        <f>IF($C163="","",$H163+$K163)</f>
        <v/>
      </c>
      <c r="M163" s="113">
        <f>IF(OR($C163="",N($F163)=0),"",$L163/$F163)</f>
        <v/>
      </c>
      <c r="N163" s="127" t="n"/>
    </row>
    <row r="164">
      <c r="B164" s="101" t="n"/>
      <c r="C164" s="100" t="n"/>
      <c r="D164" s="96">
        <f>IF($C164="","",IFERROR(INDEX(INVENTARIO!$C$7:$C$26,MATCH($C164,INVENTARIO!$B$7:$B$26,0)),"⚠ ID no existe"))</f>
        <v/>
      </c>
      <c r="E164" s="127" t="n"/>
      <c r="F164" s="128" t="n"/>
      <c r="G164" s="129" t="n"/>
      <c r="H164" s="112">
        <f>IF($C164="","",$F164*$G164)</f>
        <v/>
      </c>
      <c r="I164" s="100" t="n"/>
      <c r="J164" s="115">
        <f>IF($C164="","",IF($I164="Tarjeta Citi",CFG_CITI,0))</f>
        <v/>
      </c>
      <c r="K164" s="112">
        <f>IF($C164="","",$H164*$J164)</f>
        <v/>
      </c>
      <c r="L164" s="114">
        <f>IF($C164="","",$H164+$K164)</f>
        <v/>
      </c>
      <c r="M164" s="113">
        <f>IF(OR($C164="",N($F164)=0),"",$L164/$F164)</f>
        <v/>
      </c>
      <c r="N164" s="127" t="n"/>
    </row>
    <row r="165">
      <c r="B165" s="101" t="n"/>
      <c r="C165" s="100" t="n"/>
      <c r="D165" s="96">
        <f>IF($C165="","",IFERROR(INDEX(INVENTARIO!$C$7:$C$26,MATCH($C165,INVENTARIO!$B$7:$B$26,0)),"⚠ ID no existe"))</f>
        <v/>
      </c>
      <c r="E165" s="127" t="n"/>
      <c r="F165" s="128" t="n"/>
      <c r="G165" s="129" t="n"/>
      <c r="H165" s="112">
        <f>IF($C165="","",$F165*$G165)</f>
        <v/>
      </c>
      <c r="I165" s="100" t="n"/>
      <c r="J165" s="115">
        <f>IF($C165="","",IF($I165="Tarjeta Citi",CFG_CITI,0))</f>
        <v/>
      </c>
      <c r="K165" s="112">
        <f>IF($C165="","",$H165*$J165)</f>
        <v/>
      </c>
      <c r="L165" s="114">
        <f>IF($C165="","",$H165+$K165)</f>
        <v/>
      </c>
      <c r="M165" s="113">
        <f>IF(OR($C165="",N($F165)=0),"",$L165/$F165)</f>
        <v/>
      </c>
      <c r="N165" s="127" t="n"/>
    </row>
    <row r="166">
      <c r="B166" s="101" t="n"/>
      <c r="C166" s="100" t="n"/>
      <c r="D166" s="96">
        <f>IF($C166="","",IFERROR(INDEX(INVENTARIO!$C$7:$C$26,MATCH($C166,INVENTARIO!$B$7:$B$26,0)),"⚠ ID no existe"))</f>
        <v/>
      </c>
      <c r="E166" s="127" t="n"/>
      <c r="F166" s="128" t="n"/>
      <c r="G166" s="129" t="n"/>
      <c r="H166" s="112">
        <f>IF($C166="","",$F166*$G166)</f>
        <v/>
      </c>
      <c r="I166" s="100" t="n"/>
      <c r="J166" s="115">
        <f>IF($C166="","",IF($I166="Tarjeta Citi",CFG_CITI,0))</f>
        <v/>
      </c>
      <c r="K166" s="112">
        <f>IF($C166="","",$H166*$J166)</f>
        <v/>
      </c>
      <c r="L166" s="114">
        <f>IF($C166="","",$H166+$K166)</f>
        <v/>
      </c>
      <c r="M166" s="113">
        <f>IF(OR($C166="",N($F166)=0),"",$L166/$F166)</f>
        <v/>
      </c>
      <c r="N166" s="127" t="n"/>
    </row>
    <row r="167">
      <c r="B167" s="101" t="n"/>
      <c r="C167" s="100" t="n"/>
      <c r="D167" s="96">
        <f>IF($C167="","",IFERROR(INDEX(INVENTARIO!$C$7:$C$26,MATCH($C167,INVENTARIO!$B$7:$B$26,0)),"⚠ ID no existe"))</f>
        <v/>
      </c>
      <c r="E167" s="127" t="n"/>
      <c r="F167" s="128" t="n"/>
      <c r="G167" s="129" t="n"/>
      <c r="H167" s="112">
        <f>IF($C167="","",$F167*$G167)</f>
        <v/>
      </c>
      <c r="I167" s="100" t="n"/>
      <c r="J167" s="115">
        <f>IF($C167="","",IF($I167="Tarjeta Citi",CFG_CITI,0))</f>
        <v/>
      </c>
      <c r="K167" s="112">
        <f>IF($C167="","",$H167*$J167)</f>
        <v/>
      </c>
      <c r="L167" s="114">
        <f>IF($C167="","",$H167+$K167)</f>
        <v/>
      </c>
      <c r="M167" s="113">
        <f>IF(OR($C167="",N($F167)=0),"",$L167/$F167)</f>
        <v/>
      </c>
      <c r="N167" s="127" t="n"/>
    </row>
    <row r="168">
      <c r="B168" s="101" t="n"/>
      <c r="C168" s="100" t="n"/>
      <c r="D168" s="96">
        <f>IF($C168="","",IFERROR(INDEX(INVENTARIO!$C$7:$C$26,MATCH($C168,INVENTARIO!$B$7:$B$26,0)),"⚠ ID no existe"))</f>
        <v/>
      </c>
      <c r="E168" s="127" t="n"/>
      <c r="F168" s="128" t="n"/>
      <c r="G168" s="129" t="n"/>
      <c r="H168" s="112">
        <f>IF($C168="","",$F168*$G168)</f>
        <v/>
      </c>
      <c r="I168" s="100" t="n"/>
      <c r="J168" s="115">
        <f>IF($C168="","",IF($I168="Tarjeta Citi",CFG_CITI,0))</f>
        <v/>
      </c>
      <c r="K168" s="112">
        <f>IF($C168="","",$H168*$J168)</f>
        <v/>
      </c>
      <c r="L168" s="114">
        <f>IF($C168="","",$H168+$K168)</f>
        <v/>
      </c>
      <c r="M168" s="113">
        <f>IF(OR($C168="",N($F168)=0),"",$L168/$F168)</f>
        <v/>
      </c>
      <c r="N168" s="127" t="n"/>
    </row>
    <row r="169">
      <c r="B169" s="101" t="n"/>
      <c r="C169" s="100" t="n"/>
      <c r="D169" s="96">
        <f>IF($C169="","",IFERROR(INDEX(INVENTARIO!$C$7:$C$26,MATCH($C169,INVENTARIO!$B$7:$B$26,0)),"⚠ ID no existe"))</f>
        <v/>
      </c>
      <c r="E169" s="127" t="n"/>
      <c r="F169" s="128" t="n"/>
      <c r="G169" s="129" t="n"/>
      <c r="H169" s="112">
        <f>IF($C169="","",$F169*$G169)</f>
        <v/>
      </c>
      <c r="I169" s="100" t="n"/>
      <c r="J169" s="115">
        <f>IF($C169="","",IF($I169="Tarjeta Citi",CFG_CITI,0))</f>
        <v/>
      </c>
      <c r="K169" s="112">
        <f>IF($C169="","",$H169*$J169)</f>
        <v/>
      </c>
      <c r="L169" s="114">
        <f>IF($C169="","",$H169+$K169)</f>
        <v/>
      </c>
      <c r="M169" s="113">
        <f>IF(OR($C169="",N($F169)=0),"",$L169/$F169)</f>
        <v/>
      </c>
      <c r="N169" s="127" t="n"/>
    </row>
    <row r="170">
      <c r="B170" s="101" t="n"/>
      <c r="C170" s="100" t="n"/>
      <c r="D170" s="96">
        <f>IF($C170="","",IFERROR(INDEX(INVENTARIO!$C$7:$C$26,MATCH($C170,INVENTARIO!$B$7:$B$26,0)),"⚠ ID no existe"))</f>
        <v/>
      </c>
      <c r="E170" s="127" t="n"/>
      <c r="F170" s="128" t="n"/>
      <c r="G170" s="129" t="n"/>
      <c r="H170" s="112">
        <f>IF($C170="","",$F170*$G170)</f>
        <v/>
      </c>
      <c r="I170" s="100" t="n"/>
      <c r="J170" s="115">
        <f>IF($C170="","",IF($I170="Tarjeta Citi",CFG_CITI,0))</f>
        <v/>
      </c>
      <c r="K170" s="112">
        <f>IF($C170="","",$H170*$J170)</f>
        <v/>
      </c>
      <c r="L170" s="114">
        <f>IF($C170="","",$H170+$K170)</f>
        <v/>
      </c>
      <c r="M170" s="113">
        <f>IF(OR($C170="",N($F170)=0),"",$L170/$F170)</f>
        <v/>
      </c>
      <c r="N170" s="127" t="n"/>
    </row>
    <row r="171">
      <c r="B171" s="101" t="n"/>
      <c r="C171" s="100" t="n"/>
      <c r="D171" s="96">
        <f>IF($C171="","",IFERROR(INDEX(INVENTARIO!$C$7:$C$26,MATCH($C171,INVENTARIO!$B$7:$B$26,0)),"⚠ ID no existe"))</f>
        <v/>
      </c>
      <c r="E171" s="127" t="n"/>
      <c r="F171" s="128" t="n"/>
      <c r="G171" s="129" t="n"/>
      <c r="H171" s="112">
        <f>IF($C171="","",$F171*$G171)</f>
        <v/>
      </c>
      <c r="I171" s="100" t="n"/>
      <c r="J171" s="115">
        <f>IF($C171="","",IF($I171="Tarjeta Citi",CFG_CITI,0))</f>
        <v/>
      </c>
      <c r="K171" s="112">
        <f>IF($C171="","",$H171*$J171)</f>
        <v/>
      </c>
      <c r="L171" s="114">
        <f>IF($C171="","",$H171+$K171)</f>
        <v/>
      </c>
      <c r="M171" s="113">
        <f>IF(OR($C171="",N($F171)=0),"",$L171/$F171)</f>
        <v/>
      </c>
      <c r="N171" s="127" t="n"/>
    </row>
    <row r="172">
      <c r="B172" s="101" t="n"/>
      <c r="C172" s="100" t="n"/>
      <c r="D172" s="96">
        <f>IF($C172="","",IFERROR(INDEX(INVENTARIO!$C$7:$C$26,MATCH($C172,INVENTARIO!$B$7:$B$26,0)),"⚠ ID no existe"))</f>
        <v/>
      </c>
      <c r="E172" s="127" t="n"/>
      <c r="F172" s="128" t="n"/>
      <c r="G172" s="129" t="n"/>
      <c r="H172" s="112">
        <f>IF($C172="","",$F172*$G172)</f>
        <v/>
      </c>
      <c r="I172" s="100" t="n"/>
      <c r="J172" s="115">
        <f>IF($C172="","",IF($I172="Tarjeta Citi",CFG_CITI,0))</f>
        <v/>
      </c>
      <c r="K172" s="112">
        <f>IF($C172="","",$H172*$J172)</f>
        <v/>
      </c>
      <c r="L172" s="114">
        <f>IF($C172="","",$H172+$K172)</f>
        <v/>
      </c>
      <c r="M172" s="113">
        <f>IF(OR($C172="",N($F172)=0),"",$L172/$F172)</f>
        <v/>
      </c>
      <c r="N172" s="127" t="n"/>
    </row>
    <row r="173">
      <c r="B173" s="101" t="n"/>
      <c r="C173" s="100" t="n"/>
      <c r="D173" s="96">
        <f>IF($C173="","",IFERROR(INDEX(INVENTARIO!$C$7:$C$26,MATCH($C173,INVENTARIO!$B$7:$B$26,0)),"⚠ ID no existe"))</f>
        <v/>
      </c>
      <c r="E173" s="127" t="n"/>
      <c r="F173" s="128" t="n"/>
      <c r="G173" s="129" t="n"/>
      <c r="H173" s="112">
        <f>IF($C173="","",$F173*$G173)</f>
        <v/>
      </c>
      <c r="I173" s="100" t="n"/>
      <c r="J173" s="115">
        <f>IF($C173="","",IF($I173="Tarjeta Citi",CFG_CITI,0))</f>
        <v/>
      </c>
      <c r="K173" s="112">
        <f>IF($C173="","",$H173*$J173)</f>
        <v/>
      </c>
      <c r="L173" s="114">
        <f>IF($C173="","",$H173+$K173)</f>
        <v/>
      </c>
      <c r="M173" s="113">
        <f>IF(OR($C173="",N($F173)=0),"",$L173/$F173)</f>
        <v/>
      </c>
      <c r="N173" s="127" t="n"/>
    </row>
    <row r="174">
      <c r="B174" s="101" t="n"/>
      <c r="C174" s="100" t="n"/>
      <c r="D174" s="96">
        <f>IF($C174="","",IFERROR(INDEX(INVENTARIO!$C$7:$C$26,MATCH($C174,INVENTARIO!$B$7:$B$26,0)),"⚠ ID no existe"))</f>
        <v/>
      </c>
      <c r="E174" s="127" t="n"/>
      <c r="F174" s="128" t="n"/>
      <c r="G174" s="129" t="n"/>
      <c r="H174" s="112">
        <f>IF($C174="","",$F174*$G174)</f>
        <v/>
      </c>
      <c r="I174" s="100" t="n"/>
      <c r="J174" s="115">
        <f>IF($C174="","",IF($I174="Tarjeta Citi",CFG_CITI,0))</f>
        <v/>
      </c>
      <c r="K174" s="112">
        <f>IF($C174="","",$H174*$J174)</f>
        <v/>
      </c>
      <c r="L174" s="114">
        <f>IF($C174="","",$H174+$K174)</f>
        <v/>
      </c>
      <c r="M174" s="113">
        <f>IF(OR($C174="",N($F174)=0),"",$L174/$F174)</f>
        <v/>
      </c>
      <c r="N174" s="127" t="n"/>
    </row>
    <row r="175">
      <c r="B175" s="101" t="n"/>
      <c r="C175" s="100" t="n"/>
      <c r="D175" s="96">
        <f>IF($C175="","",IFERROR(INDEX(INVENTARIO!$C$7:$C$26,MATCH($C175,INVENTARIO!$B$7:$B$26,0)),"⚠ ID no existe"))</f>
        <v/>
      </c>
      <c r="E175" s="127" t="n"/>
      <c r="F175" s="128" t="n"/>
      <c r="G175" s="129" t="n"/>
      <c r="H175" s="112">
        <f>IF($C175="","",$F175*$G175)</f>
        <v/>
      </c>
      <c r="I175" s="100" t="n"/>
      <c r="J175" s="115">
        <f>IF($C175="","",IF($I175="Tarjeta Citi",CFG_CITI,0))</f>
        <v/>
      </c>
      <c r="K175" s="112">
        <f>IF($C175="","",$H175*$J175)</f>
        <v/>
      </c>
      <c r="L175" s="114">
        <f>IF($C175="","",$H175+$K175)</f>
        <v/>
      </c>
      <c r="M175" s="113">
        <f>IF(OR($C175="",N($F175)=0),"",$L175/$F175)</f>
        <v/>
      </c>
      <c r="N175" s="127" t="n"/>
    </row>
    <row r="176">
      <c r="B176" s="101" t="n"/>
      <c r="C176" s="100" t="n"/>
      <c r="D176" s="96">
        <f>IF($C176="","",IFERROR(INDEX(INVENTARIO!$C$7:$C$26,MATCH($C176,INVENTARIO!$B$7:$B$26,0)),"⚠ ID no existe"))</f>
        <v/>
      </c>
      <c r="E176" s="127" t="n"/>
      <c r="F176" s="128" t="n"/>
      <c r="G176" s="129" t="n"/>
      <c r="H176" s="112">
        <f>IF($C176="","",$F176*$G176)</f>
        <v/>
      </c>
      <c r="I176" s="100" t="n"/>
      <c r="J176" s="115">
        <f>IF($C176="","",IF($I176="Tarjeta Citi",CFG_CITI,0))</f>
        <v/>
      </c>
      <c r="K176" s="112">
        <f>IF($C176="","",$H176*$J176)</f>
        <v/>
      </c>
      <c r="L176" s="114">
        <f>IF($C176="","",$H176+$K176)</f>
        <v/>
      </c>
      <c r="M176" s="113">
        <f>IF(OR($C176="",N($F176)=0),"",$L176/$F176)</f>
        <v/>
      </c>
      <c r="N176" s="127" t="n"/>
    </row>
    <row r="177">
      <c r="B177" s="101" t="n"/>
      <c r="C177" s="100" t="n"/>
      <c r="D177" s="96">
        <f>IF($C177="","",IFERROR(INDEX(INVENTARIO!$C$7:$C$26,MATCH($C177,INVENTARIO!$B$7:$B$26,0)),"⚠ ID no existe"))</f>
        <v/>
      </c>
      <c r="E177" s="127" t="n"/>
      <c r="F177" s="128" t="n"/>
      <c r="G177" s="129" t="n"/>
      <c r="H177" s="112">
        <f>IF($C177="","",$F177*$G177)</f>
        <v/>
      </c>
      <c r="I177" s="100" t="n"/>
      <c r="J177" s="115">
        <f>IF($C177="","",IF($I177="Tarjeta Citi",CFG_CITI,0))</f>
        <v/>
      </c>
      <c r="K177" s="112">
        <f>IF($C177="","",$H177*$J177)</f>
        <v/>
      </c>
      <c r="L177" s="114">
        <f>IF($C177="","",$H177+$K177)</f>
        <v/>
      </c>
      <c r="M177" s="113">
        <f>IF(OR($C177="",N($F177)=0),"",$L177/$F177)</f>
        <v/>
      </c>
      <c r="N177" s="127" t="n"/>
    </row>
    <row r="178">
      <c r="B178" s="101" t="n"/>
      <c r="C178" s="100" t="n"/>
      <c r="D178" s="96">
        <f>IF($C178="","",IFERROR(INDEX(INVENTARIO!$C$7:$C$26,MATCH($C178,INVENTARIO!$B$7:$B$26,0)),"⚠ ID no existe"))</f>
        <v/>
      </c>
      <c r="E178" s="127" t="n"/>
      <c r="F178" s="128" t="n"/>
      <c r="G178" s="129" t="n"/>
      <c r="H178" s="112">
        <f>IF($C178="","",$F178*$G178)</f>
        <v/>
      </c>
      <c r="I178" s="100" t="n"/>
      <c r="J178" s="115">
        <f>IF($C178="","",IF($I178="Tarjeta Citi",CFG_CITI,0))</f>
        <v/>
      </c>
      <c r="K178" s="112">
        <f>IF($C178="","",$H178*$J178)</f>
        <v/>
      </c>
      <c r="L178" s="114">
        <f>IF($C178="","",$H178+$K178)</f>
        <v/>
      </c>
      <c r="M178" s="113">
        <f>IF(OR($C178="",N($F178)=0),"",$L178/$F178)</f>
        <v/>
      </c>
      <c r="N178" s="127" t="n"/>
    </row>
    <row r="179">
      <c r="B179" s="101" t="n"/>
      <c r="C179" s="100" t="n"/>
      <c r="D179" s="96">
        <f>IF($C179="","",IFERROR(INDEX(INVENTARIO!$C$7:$C$26,MATCH($C179,INVENTARIO!$B$7:$B$26,0)),"⚠ ID no existe"))</f>
        <v/>
      </c>
      <c r="E179" s="127" t="n"/>
      <c r="F179" s="128" t="n"/>
      <c r="G179" s="129" t="n"/>
      <c r="H179" s="112">
        <f>IF($C179="","",$F179*$G179)</f>
        <v/>
      </c>
      <c r="I179" s="100" t="n"/>
      <c r="J179" s="115">
        <f>IF($C179="","",IF($I179="Tarjeta Citi",CFG_CITI,0))</f>
        <v/>
      </c>
      <c r="K179" s="112">
        <f>IF($C179="","",$H179*$J179)</f>
        <v/>
      </c>
      <c r="L179" s="114">
        <f>IF($C179="","",$H179+$K179)</f>
        <v/>
      </c>
      <c r="M179" s="113">
        <f>IF(OR($C179="",N($F179)=0),"",$L179/$F179)</f>
        <v/>
      </c>
      <c r="N179" s="127" t="n"/>
    </row>
    <row r="180">
      <c r="B180" s="101" t="n"/>
      <c r="C180" s="100" t="n"/>
      <c r="D180" s="96">
        <f>IF($C180="","",IFERROR(INDEX(INVENTARIO!$C$7:$C$26,MATCH($C180,INVENTARIO!$B$7:$B$26,0)),"⚠ ID no existe"))</f>
        <v/>
      </c>
      <c r="E180" s="127" t="n"/>
      <c r="F180" s="128" t="n"/>
      <c r="G180" s="129" t="n"/>
      <c r="H180" s="112">
        <f>IF($C180="","",$F180*$G180)</f>
        <v/>
      </c>
      <c r="I180" s="100" t="n"/>
      <c r="J180" s="115">
        <f>IF($C180="","",IF($I180="Tarjeta Citi",CFG_CITI,0))</f>
        <v/>
      </c>
      <c r="K180" s="112">
        <f>IF($C180="","",$H180*$J180)</f>
        <v/>
      </c>
      <c r="L180" s="114">
        <f>IF($C180="","",$H180+$K180)</f>
        <v/>
      </c>
      <c r="M180" s="113">
        <f>IF(OR($C180="",N($F180)=0),"",$L180/$F180)</f>
        <v/>
      </c>
      <c r="N180" s="127" t="n"/>
    </row>
    <row r="181">
      <c r="B181" s="101" t="n"/>
      <c r="C181" s="100" t="n"/>
      <c r="D181" s="96">
        <f>IF($C181="","",IFERROR(INDEX(INVENTARIO!$C$7:$C$26,MATCH($C181,INVENTARIO!$B$7:$B$26,0)),"⚠ ID no existe"))</f>
        <v/>
      </c>
      <c r="E181" s="127" t="n"/>
      <c r="F181" s="128" t="n"/>
      <c r="G181" s="129" t="n"/>
      <c r="H181" s="112">
        <f>IF($C181="","",$F181*$G181)</f>
        <v/>
      </c>
      <c r="I181" s="100" t="n"/>
      <c r="J181" s="115">
        <f>IF($C181="","",IF($I181="Tarjeta Citi",CFG_CITI,0))</f>
        <v/>
      </c>
      <c r="K181" s="112">
        <f>IF($C181="","",$H181*$J181)</f>
        <v/>
      </c>
      <c r="L181" s="114">
        <f>IF($C181="","",$H181+$K181)</f>
        <v/>
      </c>
      <c r="M181" s="113">
        <f>IF(OR($C181="",N($F181)=0),"",$L181/$F181)</f>
        <v/>
      </c>
      <c r="N181" s="127" t="n"/>
    </row>
    <row r="182">
      <c r="B182" s="101" t="n"/>
      <c r="C182" s="100" t="n"/>
      <c r="D182" s="96">
        <f>IF($C182="","",IFERROR(INDEX(INVENTARIO!$C$7:$C$26,MATCH($C182,INVENTARIO!$B$7:$B$26,0)),"⚠ ID no existe"))</f>
        <v/>
      </c>
      <c r="E182" s="127" t="n"/>
      <c r="F182" s="128" t="n"/>
      <c r="G182" s="129" t="n"/>
      <c r="H182" s="112">
        <f>IF($C182="","",$F182*$G182)</f>
        <v/>
      </c>
      <c r="I182" s="100" t="n"/>
      <c r="J182" s="115">
        <f>IF($C182="","",IF($I182="Tarjeta Citi",CFG_CITI,0))</f>
        <v/>
      </c>
      <c r="K182" s="112">
        <f>IF($C182="","",$H182*$J182)</f>
        <v/>
      </c>
      <c r="L182" s="114">
        <f>IF($C182="","",$H182+$K182)</f>
        <v/>
      </c>
      <c r="M182" s="113">
        <f>IF(OR($C182="",N($F182)=0),"",$L182/$F182)</f>
        <v/>
      </c>
      <c r="N182" s="127" t="n"/>
    </row>
    <row r="183">
      <c r="B183" s="101" t="n"/>
      <c r="C183" s="100" t="n"/>
      <c r="D183" s="96">
        <f>IF($C183="","",IFERROR(INDEX(INVENTARIO!$C$7:$C$26,MATCH($C183,INVENTARIO!$B$7:$B$26,0)),"⚠ ID no existe"))</f>
        <v/>
      </c>
      <c r="E183" s="127" t="n"/>
      <c r="F183" s="128" t="n"/>
      <c r="G183" s="129" t="n"/>
      <c r="H183" s="112">
        <f>IF($C183="","",$F183*$G183)</f>
        <v/>
      </c>
      <c r="I183" s="100" t="n"/>
      <c r="J183" s="115">
        <f>IF($C183="","",IF($I183="Tarjeta Citi",CFG_CITI,0))</f>
        <v/>
      </c>
      <c r="K183" s="112">
        <f>IF($C183="","",$H183*$J183)</f>
        <v/>
      </c>
      <c r="L183" s="114">
        <f>IF($C183="","",$H183+$K183)</f>
        <v/>
      </c>
      <c r="M183" s="113">
        <f>IF(OR($C183="",N($F183)=0),"",$L183/$F183)</f>
        <v/>
      </c>
      <c r="N183" s="127" t="n"/>
    </row>
    <row r="184">
      <c r="B184" s="101" t="n"/>
      <c r="C184" s="100" t="n"/>
      <c r="D184" s="96">
        <f>IF($C184="","",IFERROR(INDEX(INVENTARIO!$C$7:$C$26,MATCH($C184,INVENTARIO!$B$7:$B$26,0)),"⚠ ID no existe"))</f>
        <v/>
      </c>
      <c r="E184" s="127" t="n"/>
      <c r="F184" s="128" t="n"/>
      <c r="G184" s="129" t="n"/>
      <c r="H184" s="112">
        <f>IF($C184="","",$F184*$G184)</f>
        <v/>
      </c>
      <c r="I184" s="100" t="n"/>
      <c r="J184" s="115">
        <f>IF($C184="","",IF($I184="Tarjeta Citi",CFG_CITI,0))</f>
        <v/>
      </c>
      <c r="K184" s="112">
        <f>IF($C184="","",$H184*$J184)</f>
        <v/>
      </c>
      <c r="L184" s="114">
        <f>IF($C184="","",$H184+$K184)</f>
        <v/>
      </c>
      <c r="M184" s="113">
        <f>IF(OR($C184="",N($F184)=0),"",$L184/$F184)</f>
        <v/>
      </c>
      <c r="N184" s="127" t="n"/>
    </row>
    <row r="185">
      <c r="B185" s="101" t="n"/>
      <c r="C185" s="100" t="n"/>
      <c r="D185" s="96">
        <f>IF($C185="","",IFERROR(INDEX(INVENTARIO!$C$7:$C$26,MATCH($C185,INVENTARIO!$B$7:$B$26,0)),"⚠ ID no existe"))</f>
        <v/>
      </c>
      <c r="E185" s="127" t="n"/>
      <c r="F185" s="128" t="n"/>
      <c r="G185" s="129" t="n"/>
      <c r="H185" s="112">
        <f>IF($C185="","",$F185*$G185)</f>
        <v/>
      </c>
      <c r="I185" s="100" t="n"/>
      <c r="J185" s="115">
        <f>IF($C185="","",IF($I185="Tarjeta Citi",CFG_CITI,0))</f>
        <v/>
      </c>
      <c r="K185" s="112">
        <f>IF($C185="","",$H185*$J185)</f>
        <v/>
      </c>
      <c r="L185" s="114">
        <f>IF($C185="","",$H185+$K185)</f>
        <v/>
      </c>
      <c r="M185" s="113">
        <f>IF(OR($C185="",N($F185)=0),"",$L185/$F185)</f>
        <v/>
      </c>
      <c r="N185" s="127" t="n"/>
    </row>
    <row r="186">
      <c r="B186" s="101" t="n"/>
      <c r="C186" s="100" t="n"/>
      <c r="D186" s="96">
        <f>IF($C186="","",IFERROR(INDEX(INVENTARIO!$C$7:$C$26,MATCH($C186,INVENTARIO!$B$7:$B$26,0)),"⚠ ID no existe"))</f>
        <v/>
      </c>
      <c r="E186" s="127" t="n"/>
      <c r="F186" s="128" t="n"/>
      <c r="G186" s="129" t="n"/>
      <c r="H186" s="112">
        <f>IF($C186="","",$F186*$G186)</f>
        <v/>
      </c>
      <c r="I186" s="100" t="n"/>
      <c r="J186" s="115">
        <f>IF($C186="","",IF($I186="Tarjeta Citi",CFG_CITI,0))</f>
        <v/>
      </c>
      <c r="K186" s="112">
        <f>IF($C186="","",$H186*$J186)</f>
        <v/>
      </c>
      <c r="L186" s="114">
        <f>IF($C186="","",$H186+$K186)</f>
        <v/>
      </c>
      <c r="M186" s="113">
        <f>IF(OR($C186="",N($F186)=0),"",$L186/$F186)</f>
        <v/>
      </c>
      <c r="N186" s="127" t="n"/>
    </row>
    <row r="187">
      <c r="B187" s="101" t="n"/>
      <c r="C187" s="100" t="n"/>
      <c r="D187" s="96">
        <f>IF($C187="","",IFERROR(INDEX(INVENTARIO!$C$7:$C$26,MATCH($C187,INVENTARIO!$B$7:$B$26,0)),"⚠ ID no existe"))</f>
        <v/>
      </c>
      <c r="E187" s="127" t="n"/>
      <c r="F187" s="128" t="n"/>
      <c r="G187" s="129" t="n"/>
      <c r="H187" s="112">
        <f>IF($C187="","",$F187*$G187)</f>
        <v/>
      </c>
      <c r="I187" s="100" t="n"/>
      <c r="J187" s="115">
        <f>IF($C187="","",IF($I187="Tarjeta Citi",CFG_CITI,0))</f>
        <v/>
      </c>
      <c r="K187" s="112">
        <f>IF($C187="","",$H187*$J187)</f>
        <v/>
      </c>
      <c r="L187" s="114">
        <f>IF($C187="","",$H187+$K187)</f>
        <v/>
      </c>
      <c r="M187" s="113">
        <f>IF(OR($C187="",N($F187)=0),"",$L187/$F187)</f>
        <v/>
      </c>
      <c r="N187" s="127" t="n"/>
    </row>
    <row r="188">
      <c r="B188" s="101" t="n"/>
      <c r="C188" s="100" t="n"/>
      <c r="D188" s="96">
        <f>IF($C188="","",IFERROR(INDEX(INVENTARIO!$C$7:$C$26,MATCH($C188,INVENTARIO!$B$7:$B$26,0)),"⚠ ID no existe"))</f>
        <v/>
      </c>
      <c r="E188" s="127" t="n"/>
      <c r="F188" s="128" t="n"/>
      <c r="G188" s="129" t="n"/>
      <c r="H188" s="112">
        <f>IF($C188="","",$F188*$G188)</f>
        <v/>
      </c>
      <c r="I188" s="100" t="n"/>
      <c r="J188" s="115">
        <f>IF($C188="","",IF($I188="Tarjeta Citi",CFG_CITI,0))</f>
        <v/>
      </c>
      <c r="K188" s="112">
        <f>IF($C188="","",$H188*$J188)</f>
        <v/>
      </c>
      <c r="L188" s="114">
        <f>IF($C188="","",$H188+$K188)</f>
        <v/>
      </c>
      <c r="M188" s="113">
        <f>IF(OR($C188="",N($F188)=0),"",$L188/$F188)</f>
        <v/>
      </c>
      <c r="N188" s="127" t="n"/>
    </row>
    <row r="189">
      <c r="B189" s="101" t="n"/>
      <c r="C189" s="100" t="n"/>
      <c r="D189" s="96">
        <f>IF($C189="","",IFERROR(INDEX(INVENTARIO!$C$7:$C$26,MATCH($C189,INVENTARIO!$B$7:$B$26,0)),"⚠ ID no existe"))</f>
        <v/>
      </c>
      <c r="E189" s="127" t="n"/>
      <c r="F189" s="128" t="n"/>
      <c r="G189" s="129" t="n"/>
      <c r="H189" s="112">
        <f>IF($C189="","",$F189*$G189)</f>
        <v/>
      </c>
      <c r="I189" s="100" t="n"/>
      <c r="J189" s="115">
        <f>IF($C189="","",IF($I189="Tarjeta Citi",CFG_CITI,0))</f>
        <v/>
      </c>
      <c r="K189" s="112">
        <f>IF($C189="","",$H189*$J189)</f>
        <v/>
      </c>
      <c r="L189" s="114">
        <f>IF($C189="","",$H189+$K189)</f>
        <v/>
      </c>
      <c r="M189" s="113">
        <f>IF(OR($C189="",N($F189)=0),"",$L189/$F189)</f>
        <v/>
      </c>
      <c r="N189" s="127" t="n"/>
    </row>
    <row r="190">
      <c r="B190" s="101" t="n"/>
      <c r="C190" s="100" t="n"/>
      <c r="D190" s="96">
        <f>IF($C190="","",IFERROR(INDEX(INVENTARIO!$C$7:$C$26,MATCH($C190,INVENTARIO!$B$7:$B$26,0)),"⚠ ID no existe"))</f>
        <v/>
      </c>
      <c r="E190" s="127" t="n"/>
      <c r="F190" s="128" t="n"/>
      <c r="G190" s="129" t="n"/>
      <c r="H190" s="112">
        <f>IF($C190="","",$F190*$G190)</f>
        <v/>
      </c>
      <c r="I190" s="100" t="n"/>
      <c r="J190" s="115">
        <f>IF($C190="","",IF($I190="Tarjeta Citi",CFG_CITI,0))</f>
        <v/>
      </c>
      <c r="K190" s="112">
        <f>IF($C190="","",$H190*$J190)</f>
        <v/>
      </c>
      <c r="L190" s="114">
        <f>IF($C190="","",$H190+$K190)</f>
        <v/>
      </c>
      <c r="M190" s="113">
        <f>IF(OR($C190="",N($F190)=0),"",$L190/$F190)</f>
        <v/>
      </c>
      <c r="N190" s="127" t="n"/>
    </row>
    <row r="191">
      <c r="B191" s="101" t="n"/>
      <c r="C191" s="100" t="n"/>
      <c r="D191" s="96">
        <f>IF($C191="","",IFERROR(INDEX(INVENTARIO!$C$7:$C$26,MATCH($C191,INVENTARIO!$B$7:$B$26,0)),"⚠ ID no existe"))</f>
        <v/>
      </c>
      <c r="E191" s="127" t="n"/>
      <c r="F191" s="128" t="n"/>
      <c r="G191" s="129" t="n"/>
      <c r="H191" s="112">
        <f>IF($C191="","",$F191*$G191)</f>
        <v/>
      </c>
      <c r="I191" s="100" t="n"/>
      <c r="J191" s="115">
        <f>IF($C191="","",IF($I191="Tarjeta Citi",CFG_CITI,0))</f>
        <v/>
      </c>
      <c r="K191" s="112">
        <f>IF($C191="","",$H191*$J191)</f>
        <v/>
      </c>
      <c r="L191" s="114">
        <f>IF($C191="","",$H191+$K191)</f>
        <v/>
      </c>
      <c r="M191" s="113">
        <f>IF(OR($C191="",N($F191)=0),"",$L191/$F191)</f>
        <v/>
      </c>
      <c r="N191" s="127" t="n"/>
    </row>
    <row r="192">
      <c r="B192" s="101" t="n"/>
      <c r="C192" s="100" t="n"/>
      <c r="D192" s="96">
        <f>IF($C192="","",IFERROR(INDEX(INVENTARIO!$C$7:$C$26,MATCH($C192,INVENTARIO!$B$7:$B$26,0)),"⚠ ID no existe"))</f>
        <v/>
      </c>
      <c r="E192" s="127" t="n"/>
      <c r="F192" s="128" t="n"/>
      <c r="G192" s="129" t="n"/>
      <c r="H192" s="112">
        <f>IF($C192="","",$F192*$G192)</f>
        <v/>
      </c>
      <c r="I192" s="100" t="n"/>
      <c r="J192" s="115">
        <f>IF($C192="","",IF($I192="Tarjeta Citi",CFG_CITI,0))</f>
        <v/>
      </c>
      <c r="K192" s="112">
        <f>IF($C192="","",$H192*$J192)</f>
        <v/>
      </c>
      <c r="L192" s="114">
        <f>IF($C192="","",$H192+$K192)</f>
        <v/>
      </c>
      <c r="M192" s="113">
        <f>IF(OR($C192="",N($F192)=0),"",$L192/$F192)</f>
        <v/>
      </c>
      <c r="N192" s="127" t="n"/>
    </row>
    <row r="193">
      <c r="B193" s="101" t="n"/>
      <c r="C193" s="100" t="n"/>
      <c r="D193" s="96">
        <f>IF($C193="","",IFERROR(INDEX(INVENTARIO!$C$7:$C$26,MATCH($C193,INVENTARIO!$B$7:$B$26,0)),"⚠ ID no existe"))</f>
        <v/>
      </c>
      <c r="E193" s="127" t="n"/>
      <c r="F193" s="128" t="n"/>
      <c r="G193" s="129" t="n"/>
      <c r="H193" s="112">
        <f>IF($C193="","",$F193*$G193)</f>
        <v/>
      </c>
      <c r="I193" s="100" t="n"/>
      <c r="J193" s="115">
        <f>IF($C193="","",IF($I193="Tarjeta Citi",CFG_CITI,0))</f>
        <v/>
      </c>
      <c r="K193" s="112">
        <f>IF($C193="","",$H193*$J193)</f>
        <v/>
      </c>
      <c r="L193" s="114">
        <f>IF($C193="","",$H193+$K193)</f>
        <v/>
      </c>
      <c r="M193" s="113">
        <f>IF(OR($C193="",N($F193)=0),"",$L193/$F193)</f>
        <v/>
      </c>
      <c r="N193" s="127" t="n"/>
    </row>
    <row r="194">
      <c r="B194" s="101" t="n"/>
      <c r="C194" s="100" t="n"/>
      <c r="D194" s="96">
        <f>IF($C194="","",IFERROR(INDEX(INVENTARIO!$C$7:$C$26,MATCH($C194,INVENTARIO!$B$7:$B$26,0)),"⚠ ID no existe"))</f>
        <v/>
      </c>
      <c r="E194" s="127" t="n"/>
      <c r="F194" s="128" t="n"/>
      <c r="G194" s="129" t="n"/>
      <c r="H194" s="112">
        <f>IF($C194="","",$F194*$G194)</f>
        <v/>
      </c>
      <c r="I194" s="100" t="n"/>
      <c r="J194" s="115">
        <f>IF($C194="","",IF($I194="Tarjeta Citi",CFG_CITI,0))</f>
        <v/>
      </c>
      <c r="K194" s="112">
        <f>IF($C194="","",$H194*$J194)</f>
        <v/>
      </c>
      <c r="L194" s="114">
        <f>IF($C194="","",$H194+$K194)</f>
        <v/>
      </c>
      <c r="M194" s="113">
        <f>IF(OR($C194="",N($F194)=0),"",$L194/$F194)</f>
        <v/>
      </c>
      <c r="N194" s="127" t="n"/>
    </row>
    <row r="195">
      <c r="B195" s="101" t="n"/>
      <c r="C195" s="100" t="n"/>
      <c r="D195" s="96">
        <f>IF($C195="","",IFERROR(INDEX(INVENTARIO!$C$7:$C$26,MATCH($C195,INVENTARIO!$B$7:$B$26,0)),"⚠ ID no existe"))</f>
        <v/>
      </c>
      <c r="E195" s="127" t="n"/>
      <c r="F195" s="128" t="n"/>
      <c r="G195" s="129" t="n"/>
      <c r="H195" s="112">
        <f>IF($C195="","",$F195*$G195)</f>
        <v/>
      </c>
      <c r="I195" s="100" t="n"/>
      <c r="J195" s="115">
        <f>IF($C195="","",IF($I195="Tarjeta Citi",CFG_CITI,0))</f>
        <v/>
      </c>
      <c r="K195" s="112">
        <f>IF($C195="","",$H195*$J195)</f>
        <v/>
      </c>
      <c r="L195" s="114">
        <f>IF($C195="","",$H195+$K195)</f>
        <v/>
      </c>
      <c r="M195" s="113">
        <f>IF(OR($C195="",N($F195)=0),"",$L195/$F195)</f>
        <v/>
      </c>
      <c r="N195" s="127" t="n"/>
    </row>
    <row r="196">
      <c r="B196" s="101" t="n"/>
      <c r="C196" s="100" t="n"/>
      <c r="D196" s="96">
        <f>IF($C196="","",IFERROR(INDEX(INVENTARIO!$C$7:$C$26,MATCH($C196,INVENTARIO!$B$7:$B$26,0)),"⚠ ID no existe"))</f>
        <v/>
      </c>
      <c r="E196" s="127" t="n"/>
      <c r="F196" s="128" t="n"/>
      <c r="G196" s="129" t="n"/>
      <c r="H196" s="112">
        <f>IF($C196="","",$F196*$G196)</f>
        <v/>
      </c>
      <c r="I196" s="100" t="n"/>
      <c r="J196" s="115">
        <f>IF($C196="","",IF($I196="Tarjeta Citi",CFG_CITI,0))</f>
        <v/>
      </c>
      <c r="K196" s="112">
        <f>IF($C196="","",$H196*$J196)</f>
        <v/>
      </c>
      <c r="L196" s="114">
        <f>IF($C196="","",$H196+$K196)</f>
        <v/>
      </c>
      <c r="M196" s="113">
        <f>IF(OR($C196="",N($F196)=0),"",$L196/$F196)</f>
        <v/>
      </c>
      <c r="N196" s="127" t="n"/>
    </row>
    <row r="197">
      <c r="B197" s="101" t="n"/>
      <c r="C197" s="100" t="n"/>
      <c r="D197" s="96">
        <f>IF($C197="","",IFERROR(INDEX(INVENTARIO!$C$7:$C$26,MATCH($C197,INVENTARIO!$B$7:$B$26,0)),"⚠ ID no existe"))</f>
        <v/>
      </c>
      <c r="E197" s="127" t="n"/>
      <c r="F197" s="128" t="n"/>
      <c r="G197" s="129" t="n"/>
      <c r="H197" s="112">
        <f>IF($C197="","",$F197*$G197)</f>
        <v/>
      </c>
      <c r="I197" s="100" t="n"/>
      <c r="J197" s="115">
        <f>IF($C197="","",IF($I197="Tarjeta Citi",CFG_CITI,0))</f>
        <v/>
      </c>
      <c r="K197" s="112">
        <f>IF($C197="","",$H197*$J197)</f>
        <v/>
      </c>
      <c r="L197" s="114">
        <f>IF($C197="","",$H197+$K197)</f>
        <v/>
      </c>
      <c r="M197" s="113">
        <f>IF(OR($C197="",N($F197)=0),"",$L197/$F197)</f>
        <v/>
      </c>
      <c r="N197" s="127" t="n"/>
    </row>
    <row r="198">
      <c r="B198" s="101" t="n"/>
      <c r="C198" s="100" t="n"/>
      <c r="D198" s="96">
        <f>IF($C198="","",IFERROR(INDEX(INVENTARIO!$C$7:$C$26,MATCH($C198,INVENTARIO!$B$7:$B$26,0)),"⚠ ID no existe"))</f>
        <v/>
      </c>
      <c r="E198" s="127" t="n"/>
      <c r="F198" s="128" t="n"/>
      <c r="G198" s="129" t="n"/>
      <c r="H198" s="112">
        <f>IF($C198="","",$F198*$G198)</f>
        <v/>
      </c>
      <c r="I198" s="100" t="n"/>
      <c r="J198" s="115">
        <f>IF($C198="","",IF($I198="Tarjeta Citi",CFG_CITI,0))</f>
        <v/>
      </c>
      <c r="K198" s="112">
        <f>IF($C198="","",$H198*$J198)</f>
        <v/>
      </c>
      <c r="L198" s="114">
        <f>IF($C198="","",$H198+$K198)</f>
        <v/>
      </c>
      <c r="M198" s="113">
        <f>IF(OR($C198="",N($F198)=0),"",$L198/$F198)</f>
        <v/>
      </c>
      <c r="N198" s="127" t="n"/>
    </row>
    <row r="199">
      <c r="B199" s="101" t="n"/>
      <c r="C199" s="100" t="n"/>
      <c r="D199" s="96">
        <f>IF($C199="","",IFERROR(INDEX(INVENTARIO!$C$7:$C$26,MATCH($C199,INVENTARIO!$B$7:$B$26,0)),"⚠ ID no existe"))</f>
        <v/>
      </c>
      <c r="E199" s="127" t="n"/>
      <c r="F199" s="128" t="n"/>
      <c r="G199" s="129" t="n"/>
      <c r="H199" s="112">
        <f>IF($C199="","",$F199*$G199)</f>
        <v/>
      </c>
      <c r="I199" s="100" t="n"/>
      <c r="J199" s="115">
        <f>IF($C199="","",IF($I199="Tarjeta Citi",CFG_CITI,0))</f>
        <v/>
      </c>
      <c r="K199" s="112">
        <f>IF($C199="","",$H199*$J199)</f>
        <v/>
      </c>
      <c r="L199" s="114">
        <f>IF($C199="","",$H199+$K199)</f>
        <v/>
      </c>
      <c r="M199" s="113">
        <f>IF(OR($C199="",N($F199)=0),"",$L199/$F199)</f>
        <v/>
      </c>
      <c r="N199" s="127" t="n"/>
    </row>
    <row r="200">
      <c r="B200" s="101" t="n"/>
      <c r="C200" s="100" t="n"/>
      <c r="D200" s="96">
        <f>IF($C200="","",IFERROR(INDEX(INVENTARIO!$C$7:$C$26,MATCH($C200,INVENTARIO!$B$7:$B$26,0)),"⚠ ID no existe"))</f>
        <v/>
      </c>
      <c r="E200" s="127" t="n"/>
      <c r="F200" s="128" t="n"/>
      <c r="G200" s="129" t="n"/>
      <c r="H200" s="112">
        <f>IF($C200="","",$F200*$G200)</f>
        <v/>
      </c>
      <c r="I200" s="100" t="n"/>
      <c r="J200" s="115">
        <f>IF($C200="","",IF($I200="Tarjeta Citi",CFG_CITI,0))</f>
        <v/>
      </c>
      <c r="K200" s="112">
        <f>IF($C200="","",$H200*$J200)</f>
        <v/>
      </c>
      <c r="L200" s="114">
        <f>IF($C200="","",$H200+$K200)</f>
        <v/>
      </c>
      <c r="M200" s="113">
        <f>IF(OR($C200="",N($F200)=0),"",$L200/$F200)</f>
        <v/>
      </c>
      <c r="N200" s="127" t="n"/>
    </row>
    <row r="201">
      <c r="B201" s="101" t="n"/>
      <c r="C201" s="100" t="n"/>
      <c r="D201" s="96">
        <f>IF($C201="","",IFERROR(INDEX(INVENTARIO!$C$7:$C$26,MATCH($C201,INVENTARIO!$B$7:$B$26,0)),"⚠ ID no existe"))</f>
        <v/>
      </c>
      <c r="E201" s="127" t="n"/>
      <c r="F201" s="128" t="n"/>
      <c r="G201" s="129" t="n"/>
      <c r="H201" s="112">
        <f>IF($C201="","",$F201*$G201)</f>
        <v/>
      </c>
      <c r="I201" s="100" t="n"/>
      <c r="J201" s="115">
        <f>IF($C201="","",IF($I201="Tarjeta Citi",CFG_CITI,0))</f>
        <v/>
      </c>
      <c r="K201" s="112">
        <f>IF($C201="","",$H201*$J201)</f>
        <v/>
      </c>
      <c r="L201" s="114">
        <f>IF($C201="","",$H201+$K201)</f>
        <v/>
      </c>
      <c r="M201" s="113">
        <f>IF(OR($C201="",N($F201)=0),"",$L201/$F201)</f>
        <v/>
      </c>
      <c r="N201" s="127" t="n"/>
    </row>
    <row r="202">
      <c r="B202" s="101" t="n"/>
      <c r="C202" s="100" t="n"/>
      <c r="D202" s="96">
        <f>IF($C202="","",IFERROR(INDEX(INVENTARIO!$C$7:$C$26,MATCH($C202,INVENTARIO!$B$7:$B$26,0)),"⚠ ID no existe"))</f>
        <v/>
      </c>
      <c r="E202" s="127" t="n"/>
      <c r="F202" s="128" t="n"/>
      <c r="G202" s="129" t="n"/>
      <c r="H202" s="112">
        <f>IF($C202="","",$F202*$G202)</f>
        <v/>
      </c>
      <c r="I202" s="100" t="n"/>
      <c r="J202" s="115">
        <f>IF($C202="","",IF($I202="Tarjeta Citi",CFG_CITI,0))</f>
        <v/>
      </c>
      <c r="K202" s="112">
        <f>IF($C202="","",$H202*$J202)</f>
        <v/>
      </c>
      <c r="L202" s="114">
        <f>IF($C202="","",$H202+$K202)</f>
        <v/>
      </c>
      <c r="M202" s="113">
        <f>IF(OR($C202="",N($F202)=0),"",$L202/$F202)</f>
        <v/>
      </c>
      <c r="N202" s="127" t="n"/>
    </row>
    <row r="203">
      <c r="B203" s="101" t="n"/>
      <c r="C203" s="100" t="n"/>
      <c r="D203" s="96">
        <f>IF($C203="","",IFERROR(INDEX(INVENTARIO!$C$7:$C$26,MATCH($C203,INVENTARIO!$B$7:$B$26,0)),"⚠ ID no existe"))</f>
        <v/>
      </c>
      <c r="E203" s="127" t="n"/>
      <c r="F203" s="128" t="n"/>
      <c r="G203" s="129" t="n"/>
      <c r="H203" s="112">
        <f>IF($C203="","",$F203*$G203)</f>
        <v/>
      </c>
      <c r="I203" s="100" t="n"/>
      <c r="J203" s="115">
        <f>IF($C203="","",IF($I203="Tarjeta Citi",CFG_CITI,0))</f>
        <v/>
      </c>
      <c r="K203" s="112">
        <f>IF($C203="","",$H203*$J203)</f>
        <v/>
      </c>
      <c r="L203" s="114">
        <f>IF($C203="","",$H203+$K203)</f>
        <v/>
      </c>
      <c r="M203" s="113">
        <f>IF(OR($C203="",N($F203)=0),"",$L203/$F203)</f>
        <v/>
      </c>
      <c r="N203" s="127" t="n"/>
    </row>
    <row r="204">
      <c r="B204" s="101" t="n"/>
      <c r="C204" s="100" t="n"/>
      <c r="D204" s="96">
        <f>IF($C204="","",IFERROR(INDEX(INVENTARIO!$C$7:$C$26,MATCH($C204,INVENTARIO!$B$7:$B$26,0)),"⚠ ID no existe"))</f>
        <v/>
      </c>
      <c r="E204" s="127" t="n"/>
      <c r="F204" s="128" t="n"/>
      <c r="G204" s="129" t="n"/>
      <c r="H204" s="112">
        <f>IF($C204="","",$F204*$G204)</f>
        <v/>
      </c>
      <c r="I204" s="100" t="n"/>
      <c r="J204" s="115">
        <f>IF($C204="","",IF($I204="Tarjeta Citi",CFG_CITI,0))</f>
        <v/>
      </c>
      <c r="K204" s="112">
        <f>IF($C204="","",$H204*$J204)</f>
        <v/>
      </c>
      <c r="L204" s="114">
        <f>IF($C204="","",$H204+$K204)</f>
        <v/>
      </c>
      <c r="M204" s="113">
        <f>IF(OR($C204="",N($F204)=0),"",$L204/$F204)</f>
        <v/>
      </c>
      <c r="N204" s="127" t="n"/>
    </row>
    <row r="205">
      <c r="B205" s="101" t="n"/>
      <c r="C205" s="100" t="n"/>
      <c r="D205" s="96">
        <f>IF($C205="","",IFERROR(INDEX(INVENTARIO!$C$7:$C$26,MATCH($C205,INVENTARIO!$B$7:$B$26,0)),"⚠ ID no existe"))</f>
        <v/>
      </c>
      <c r="E205" s="127" t="n"/>
      <c r="F205" s="128" t="n"/>
      <c r="G205" s="129" t="n"/>
      <c r="H205" s="112">
        <f>IF($C205="","",$F205*$G205)</f>
        <v/>
      </c>
      <c r="I205" s="100" t="n"/>
      <c r="J205" s="115">
        <f>IF($C205="","",IF($I205="Tarjeta Citi",CFG_CITI,0))</f>
        <v/>
      </c>
      <c r="K205" s="112">
        <f>IF($C205="","",$H205*$J205)</f>
        <v/>
      </c>
      <c r="L205" s="114">
        <f>IF($C205="","",$H205+$K205)</f>
        <v/>
      </c>
      <c r="M205" s="113">
        <f>IF(OR($C205="",N($F205)=0),"",$L205/$F205)</f>
        <v/>
      </c>
      <c r="N205" s="127" t="n"/>
    </row>
    <row r="206">
      <c r="B206" s="101" t="n"/>
      <c r="C206" s="100" t="n"/>
      <c r="D206" s="96">
        <f>IF($C206="","",IFERROR(INDEX(INVENTARIO!$C$7:$C$26,MATCH($C206,INVENTARIO!$B$7:$B$26,0)),"⚠ ID no existe"))</f>
        <v/>
      </c>
      <c r="E206" s="127" t="n"/>
      <c r="F206" s="128" t="n"/>
      <c r="G206" s="129" t="n"/>
      <c r="H206" s="112">
        <f>IF($C206="","",$F206*$G206)</f>
        <v/>
      </c>
      <c r="I206" s="100" t="n"/>
      <c r="J206" s="115">
        <f>IF($C206="","",IF($I206="Tarjeta Citi",CFG_CITI,0))</f>
        <v/>
      </c>
      <c r="K206" s="112">
        <f>IF($C206="","",$H206*$J206)</f>
        <v/>
      </c>
      <c r="L206" s="114">
        <f>IF($C206="","",$H206+$K206)</f>
        <v/>
      </c>
      <c r="M206" s="113">
        <f>IF(OR($C206="",N($F206)=0),"",$L206/$F206)</f>
        <v/>
      </c>
      <c r="N206" s="127" t="n"/>
    </row>
    <row r="207">
      <c r="B207" s="101" t="n"/>
      <c r="C207" s="100" t="n"/>
      <c r="D207" s="96">
        <f>IF($C207="","",IFERROR(INDEX(INVENTARIO!$C$7:$C$26,MATCH($C207,INVENTARIO!$B$7:$B$26,0)),"⚠ ID no existe"))</f>
        <v/>
      </c>
      <c r="E207" s="127" t="n"/>
      <c r="F207" s="128" t="n"/>
      <c r="G207" s="129" t="n"/>
      <c r="H207" s="112">
        <f>IF($C207="","",$F207*$G207)</f>
        <v/>
      </c>
      <c r="I207" s="100" t="n"/>
      <c r="J207" s="115">
        <f>IF($C207="","",IF($I207="Tarjeta Citi",CFG_CITI,0))</f>
        <v/>
      </c>
      <c r="K207" s="112">
        <f>IF($C207="","",$H207*$J207)</f>
        <v/>
      </c>
      <c r="L207" s="114">
        <f>IF($C207="","",$H207+$K207)</f>
        <v/>
      </c>
      <c r="M207" s="113">
        <f>IF(OR($C207="",N($F207)=0),"",$L207/$F207)</f>
        <v/>
      </c>
      <c r="N207" s="127" t="n"/>
    </row>
    <row r="208">
      <c r="B208" s="101" t="n"/>
      <c r="C208" s="100" t="n"/>
      <c r="D208" s="96">
        <f>IF($C208="","",IFERROR(INDEX(INVENTARIO!$C$7:$C$26,MATCH($C208,INVENTARIO!$B$7:$B$26,0)),"⚠ ID no existe"))</f>
        <v/>
      </c>
      <c r="E208" s="127" t="n"/>
      <c r="F208" s="128" t="n"/>
      <c r="G208" s="129" t="n"/>
      <c r="H208" s="112">
        <f>IF($C208="","",$F208*$G208)</f>
        <v/>
      </c>
      <c r="I208" s="100" t="n"/>
      <c r="J208" s="115">
        <f>IF($C208="","",IF($I208="Tarjeta Citi",CFG_CITI,0))</f>
        <v/>
      </c>
      <c r="K208" s="112">
        <f>IF($C208="","",$H208*$J208)</f>
        <v/>
      </c>
      <c r="L208" s="114">
        <f>IF($C208="","",$H208+$K208)</f>
        <v/>
      </c>
      <c r="M208" s="113">
        <f>IF(OR($C208="",N($F208)=0),"",$L208/$F208)</f>
        <v/>
      </c>
      <c r="N208" s="127" t="n"/>
    </row>
    <row r="209">
      <c r="B209" s="101" t="n"/>
      <c r="C209" s="100" t="n"/>
      <c r="D209" s="96">
        <f>IF($C209="","",IFERROR(INDEX(INVENTARIO!$C$7:$C$26,MATCH($C209,INVENTARIO!$B$7:$B$26,0)),"⚠ ID no existe"))</f>
        <v/>
      </c>
      <c r="E209" s="127" t="n"/>
      <c r="F209" s="128" t="n"/>
      <c r="G209" s="129" t="n"/>
      <c r="H209" s="112">
        <f>IF($C209="","",$F209*$G209)</f>
        <v/>
      </c>
      <c r="I209" s="100" t="n"/>
      <c r="J209" s="115">
        <f>IF($C209="","",IF($I209="Tarjeta Citi",CFG_CITI,0))</f>
        <v/>
      </c>
      <c r="K209" s="112">
        <f>IF($C209="","",$H209*$J209)</f>
        <v/>
      </c>
      <c r="L209" s="114">
        <f>IF($C209="","",$H209+$K209)</f>
        <v/>
      </c>
      <c r="M209" s="113">
        <f>IF(OR($C209="",N($F209)=0),"",$L209/$F209)</f>
        <v/>
      </c>
      <c r="N209" s="127" t="n"/>
    </row>
    <row r="210">
      <c r="B210" s="101" t="n"/>
      <c r="C210" s="100" t="n"/>
      <c r="D210" s="96">
        <f>IF($C210="","",IFERROR(INDEX(INVENTARIO!$C$7:$C$26,MATCH($C210,INVENTARIO!$B$7:$B$26,0)),"⚠ ID no existe"))</f>
        <v/>
      </c>
      <c r="E210" s="127" t="n"/>
      <c r="F210" s="128" t="n"/>
      <c r="G210" s="129" t="n"/>
      <c r="H210" s="112">
        <f>IF($C210="","",$F210*$G210)</f>
        <v/>
      </c>
      <c r="I210" s="100" t="n"/>
      <c r="J210" s="115">
        <f>IF($C210="","",IF($I210="Tarjeta Citi",CFG_CITI,0))</f>
        <v/>
      </c>
      <c r="K210" s="112">
        <f>IF($C210="","",$H210*$J210)</f>
        <v/>
      </c>
      <c r="L210" s="114">
        <f>IF($C210="","",$H210+$K210)</f>
        <v/>
      </c>
      <c r="M210" s="113">
        <f>IF(OR($C210="",N($F210)=0),"",$L210/$F210)</f>
        <v/>
      </c>
      <c r="N210" s="127" t="n"/>
    </row>
    <row r="211">
      <c r="B211" s="101" t="n"/>
      <c r="C211" s="100" t="n"/>
      <c r="D211" s="96">
        <f>IF($C211="","",IFERROR(INDEX(INVENTARIO!$C$7:$C$26,MATCH($C211,INVENTARIO!$B$7:$B$26,0)),"⚠ ID no existe"))</f>
        <v/>
      </c>
      <c r="E211" s="127" t="n"/>
      <c r="F211" s="128" t="n"/>
      <c r="G211" s="129" t="n"/>
      <c r="H211" s="112">
        <f>IF($C211="","",$F211*$G211)</f>
        <v/>
      </c>
      <c r="I211" s="100" t="n"/>
      <c r="J211" s="115">
        <f>IF($C211="","",IF($I211="Tarjeta Citi",CFG_CITI,0))</f>
        <v/>
      </c>
      <c r="K211" s="112">
        <f>IF($C211="","",$H211*$J211)</f>
        <v/>
      </c>
      <c r="L211" s="114">
        <f>IF($C211="","",$H211+$K211)</f>
        <v/>
      </c>
      <c r="M211" s="113">
        <f>IF(OR($C211="",N($F211)=0),"",$L211/$F211)</f>
        <v/>
      </c>
      <c r="N211" s="127" t="n"/>
    </row>
    <row r="212">
      <c r="B212" s="101" t="n"/>
      <c r="C212" s="100" t="n"/>
      <c r="D212" s="96">
        <f>IF($C212="","",IFERROR(INDEX(INVENTARIO!$C$7:$C$26,MATCH($C212,INVENTARIO!$B$7:$B$26,0)),"⚠ ID no existe"))</f>
        <v/>
      </c>
      <c r="E212" s="127" t="n"/>
      <c r="F212" s="128" t="n"/>
      <c r="G212" s="129" t="n"/>
      <c r="H212" s="112">
        <f>IF($C212="","",$F212*$G212)</f>
        <v/>
      </c>
      <c r="I212" s="100" t="n"/>
      <c r="J212" s="115">
        <f>IF($C212="","",IF($I212="Tarjeta Citi",CFG_CITI,0))</f>
        <v/>
      </c>
      <c r="K212" s="112">
        <f>IF($C212="","",$H212*$J212)</f>
        <v/>
      </c>
      <c r="L212" s="114">
        <f>IF($C212="","",$H212+$K212)</f>
        <v/>
      </c>
      <c r="M212" s="113">
        <f>IF(OR($C212="",N($F212)=0),"",$L212/$F212)</f>
        <v/>
      </c>
      <c r="N212" s="127" t="n"/>
    </row>
    <row r="213">
      <c r="B213" s="101" t="n"/>
      <c r="C213" s="100" t="n"/>
      <c r="D213" s="96">
        <f>IF($C213="","",IFERROR(INDEX(INVENTARIO!$C$7:$C$26,MATCH($C213,INVENTARIO!$B$7:$B$26,0)),"⚠ ID no existe"))</f>
        <v/>
      </c>
      <c r="E213" s="127" t="n"/>
      <c r="F213" s="128" t="n"/>
      <c r="G213" s="129" t="n"/>
      <c r="H213" s="112">
        <f>IF($C213="","",$F213*$G213)</f>
        <v/>
      </c>
      <c r="I213" s="100" t="n"/>
      <c r="J213" s="115">
        <f>IF($C213="","",IF($I213="Tarjeta Citi",CFG_CITI,0))</f>
        <v/>
      </c>
      <c r="K213" s="112">
        <f>IF($C213="","",$H213*$J213)</f>
        <v/>
      </c>
      <c r="L213" s="114">
        <f>IF($C213="","",$H213+$K213)</f>
        <v/>
      </c>
      <c r="M213" s="113">
        <f>IF(OR($C213="",N($F213)=0),"",$L213/$F213)</f>
        <v/>
      </c>
      <c r="N213" s="127" t="n"/>
    </row>
    <row r="214">
      <c r="B214" s="101" t="n"/>
      <c r="C214" s="100" t="n"/>
      <c r="D214" s="96">
        <f>IF($C214="","",IFERROR(INDEX(INVENTARIO!$C$7:$C$26,MATCH($C214,INVENTARIO!$B$7:$B$26,0)),"⚠ ID no existe"))</f>
        <v/>
      </c>
      <c r="E214" s="127" t="n"/>
      <c r="F214" s="128" t="n"/>
      <c r="G214" s="129" t="n"/>
      <c r="H214" s="112">
        <f>IF($C214="","",$F214*$G214)</f>
        <v/>
      </c>
      <c r="I214" s="100" t="n"/>
      <c r="J214" s="115">
        <f>IF($C214="","",IF($I214="Tarjeta Citi",CFG_CITI,0))</f>
        <v/>
      </c>
      <c r="K214" s="112">
        <f>IF($C214="","",$H214*$J214)</f>
        <v/>
      </c>
      <c r="L214" s="114">
        <f>IF($C214="","",$H214+$K214)</f>
        <v/>
      </c>
      <c r="M214" s="113">
        <f>IF(OR($C214="",N($F214)=0),"",$L214/$F214)</f>
        <v/>
      </c>
      <c r="N214" s="127" t="n"/>
    </row>
    <row r="215">
      <c r="B215" s="101" t="n"/>
      <c r="C215" s="100" t="n"/>
      <c r="D215" s="96">
        <f>IF($C215="","",IFERROR(INDEX(INVENTARIO!$C$7:$C$26,MATCH($C215,INVENTARIO!$B$7:$B$26,0)),"⚠ ID no existe"))</f>
        <v/>
      </c>
      <c r="E215" s="127" t="n"/>
      <c r="F215" s="128" t="n"/>
      <c r="G215" s="129" t="n"/>
      <c r="H215" s="112">
        <f>IF($C215="","",$F215*$G215)</f>
        <v/>
      </c>
      <c r="I215" s="100" t="n"/>
      <c r="J215" s="115">
        <f>IF($C215="","",IF($I215="Tarjeta Citi",CFG_CITI,0))</f>
        <v/>
      </c>
      <c r="K215" s="112">
        <f>IF($C215="","",$H215*$J215)</f>
        <v/>
      </c>
      <c r="L215" s="114">
        <f>IF($C215="","",$H215+$K215)</f>
        <v/>
      </c>
      <c r="M215" s="113">
        <f>IF(OR($C215="",N($F215)=0),"",$L215/$F215)</f>
        <v/>
      </c>
      <c r="N215" s="127" t="n"/>
    </row>
    <row r="216">
      <c r="B216" s="101" t="n"/>
      <c r="C216" s="100" t="n"/>
      <c r="D216" s="96">
        <f>IF($C216="","",IFERROR(INDEX(INVENTARIO!$C$7:$C$26,MATCH($C216,INVENTARIO!$B$7:$B$26,0)),"⚠ ID no existe"))</f>
        <v/>
      </c>
      <c r="E216" s="127" t="n"/>
      <c r="F216" s="128" t="n"/>
      <c r="G216" s="129" t="n"/>
      <c r="H216" s="112">
        <f>IF($C216="","",$F216*$G216)</f>
        <v/>
      </c>
      <c r="I216" s="100" t="n"/>
      <c r="J216" s="115">
        <f>IF($C216="","",IF($I216="Tarjeta Citi",CFG_CITI,0))</f>
        <v/>
      </c>
      <c r="K216" s="112">
        <f>IF($C216="","",$H216*$J216)</f>
        <v/>
      </c>
      <c r="L216" s="114">
        <f>IF($C216="","",$H216+$K216)</f>
        <v/>
      </c>
      <c r="M216" s="113">
        <f>IF(OR($C216="",N($F216)=0),"",$L216/$F216)</f>
        <v/>
      </c>
      <c r="N216" s="127" t="n"/>
    </row>
    <row r="217">
      <c r="B217" s="101" t="n"/>
      <c r="C217" s="100" t="n"/>
      <c r="D217" s="96">
        <f>IF($C217="","",IFERROR(INDEX(INVENTARIO!$C$7:$C$26,MATCH($C217,INVENTARIO!$B$7:$B$26,0)),"⚠ ID no existe"))</f>
        <v/>
      </c>
      <c r="E217" s="127" t="n"/>
      <c r="F217" s="128" t="n"/>
      <c r="G217" s="129" t="n"/>
      <c r="H217" s="112">
        <f>IF($C217="","",$F217*$G217)</f>
        <v/>
      </c>
      <c r="I217" s="100" t="n"/>
      <c r="J217" s="115">
        <f>IF($C217="","",IF($I217="Tarjeta Citi",CFG_CITI,0))</f>
        <v/>
      </c>
      <c r="K217" s="112">
        <f>IF($C217="","",$H217*$J217)</f>
        <v/>
      </c>
      <c r="L217" s="114">
        <f>IF($C217="","",$H217+$K217)</f>
        <v/>
      </c>
      <c r="M217" s="113">
        <f>IF(OR($C217="",N($F217)=0),"",$L217/$F217)</f>
        <v/>
      </c>
      <c r="N217" s="127" t="n"/>
    </row>
    <row r="218">
      <c r="B218" s="101" t="n"/>
      <c r="C218" s="100" t="n"/>
      <c r="D218" s="96">
        <f>IF($C218="","",IFERROR(INDEX(INVENTARIO!$C$7:$C$26,MATCH($C218,INVENTARIO!$B$7:$B$26,0)),"⚠ ID no existe"))</f>
        <v/>
      </c>
      <c r="E218" s="127" t="n"/>
      <c r="F218" s="128" t="n"/>
      <c r="G218" s="129" t="n"/>
      <c r="H218" s="112">
        <f>IF($C218="","",$F218*$G218)</f>
        <v/>
      </c>
      <c r="I218" s="100" t="n"/>
      <c r="J218" s="115">
        <f>IF($C218="","",IF($I218="Tarjeta Citi",CFG_CITI,0))</f>
        <v/>
      </c>
      <c r="K218" s="112">
        <f>IF($C218="","",$H218*$J218)</f>
        <v/>
      </c>
      <c r="L218" s="114">
        <f>IF($C218="","",$H218+$K218)</f>
        <v/>
      </c>
      <c r="M218" s="113">
        <f>IF(OR($C218="",N($F218)=0),"",$L218/$F218)</f>
        <v/>
      </c>
      <c r="N218" s="127" t="n"/>
    </row>
    <row r="219">
      <c r="B219" s="101" t="n"/>
      <c r="C219" s="100" t="n"/>
      <c r="D219" s="96">
        <f>IF($C219="","",IFERROR(INDEX(INVENTARIO!$C$7:$C$26,MATCH($C219,INVENTARIO!$B$7:$B$26,0)),"⚠ ID no existe"))</f>
        <v/>
      </c>
      <c r="E219" s="127" t="n"/>
      <c r="F219" s="128" t="n"/>
      <c r="G219" s="129" t="n"/>
      <c r="H219" s="112">
        <f>IF($C219="","",$F219*$G219)</f>
        <v/>
      </c>
      <c r="I219" s="100" t="n"/>
      <c r="J219" s="115">
        <f>IF($C219="","",IF($I219="Tarjeta Citi",CFG_CITI,0))</f>
        <v/>
      </c>
      <c r="K219" s="112">
        <f>IF($C219="","",$H219*$J219)</f>
        <v/>
      </c>
      <c r="L219" s="114">
        <f>IF($C219="","",$H219+$K219)</f>
        <v/>
      </c>
      <c r="M219" s="113">
        <f>IF(OR($C219="",N($F219)=0),"",$L219/$F219)</f>
        <v/>
      </c>
      <c r="N219" s="127" t="n"/>
    </row>
    <row r="220">
      <c r="B220" s="101" t="n"/>
      <c r="C220" s="100" t="n"/>
      <c r="D220" s="96">
        <f>IF($C220="","",IFERROR(INDEX(INVENTARIO!$C$7:$C$26,MATCH($C220,INVENTARIO!$B$7:$B$26,0)),"⚠ ID no existe"))</f>
        <v/>
      </c>
      <c r="E220" s="127" t="n"/>
      <c r="F220" s="128" t="n"/>
      <c r="G220" s="129" t="n"/>
      <c r="H220" s="112">
        <f>IF($C220="","",$F220*$G220)</f>
        <v/>
      </c>
      <c r="I220" s="100" t="n"/>
      <c r="J220" s="115">
        <f>IF($C220="","",IF($I220="Tarjeta Citi",CFG_CITI,0))</f>
        <v/>
      </c>
      <c r="K220" s="112">
        <f>IF($C220="","",$H220*$J220)</f>
        <v/>
      </c>
      <c r="L220" s="114">
        <f>IF($C220="","",$H220+$K220)</f>
        <v/>
      </c>
      <c r="M220" s="113">
        <f>IF(OR($C220="",N($F220)=0),"",$L220/$F220)</f>
        <v/>
      </c>
      <c r="N220" s="127" t="n"/>
    </row>
    <row r="221">
      <c r="B221" s="101" t="n"/>
      <c r="C221" s="100" t="n"/>
      <c r="D221" s="96">
        <f>IF($C221="","",IFERROR(INDEX(INVENTARIO!$C$7:$C$26,MATCH($C221,INVENTARIO!$B$7:$B$26,0)),"⚠ ID no existe"))</f>
        <v/>
      </c>
      <c r="E221" s="127" t="n"/>
      <c r="F221" s="128" t="n"/>
      <c r="G221" s="129" t="n"/>
      <c r="H221" s="112">
        <f>IF($C221="","",$F221*$G221)</f>
        <v/>
      </c>
      <c r="I221" s="100" t="n"/>
      <c r="J221" s="115">
        <f>IF($C221="","",IF($I221="Tarjeta Citi",CFG_CITI,0))</f>
        <v/>
      </c>
      <c r="K221" s="112">
        <f>IF($C221="","",$H221*$J221)</f>
        <v/>
      </c>
      <c r="L221" s="114">
        <f>IF($C221="","",$H221+$K221)</f>
        <v/>
      </c>
      <c r="M221" s="113">
        <f>IF(OR($C221="",N($F221)=0),"",$L221/$F221)</f>
        <v/>
      </c>
      <c r="N221" s="127" t="n"/>
    </row>
    <row r="222">
      <c r="B222" s="101" t="n"/>
      <c r="C222" s="100" t="n"/>
      <c r="D222" s="96">
        <f>IF($C222="","",IFERROR(INDEX(INVENTARIO!$C$7:$C$26,MATCH($C222,INVENTARIO!$B$7:$B$26,0)),"⚠ ID no existe"))</f>
        <v/>
      </c>
      <c r="E222" s="127" t="n"/>
      <c r="F222" s="128" t="n"/>
      <c r="G222" s="129" t="n"/>
      <c r="H222" s="112">
        <f>IF($C222="","",$F222*$G222)</f>
        <v/>
      </c>
      <c r="I222" s="100" t="n"/>
      <c r="J222" s="115">
        <f>IF($C222="","",IF($I222="Tarjeta Citi",CFG_CITI,0))</f>
        <v/>
      </c>
      <c r="K222" s="112">
        <f>IF($C222="","",$H222*$J222)</f>
        <v/>
      </c>
      <c r="L222" s="114">
        <f>IF($C222="","",$H222+$K222)</f>
        <v/>
      </c>
      <c r="M222" s="113">
        <f>IF(OR($C222="",N($F222)=0),"",$L222/$F222)</f>
        <v/>
      </c>
      <c r="N222" s="127" t="n"/>
    </row>
    <row r="223">
      <c r="B223" s="101" t="n"/>
      <c r="C223" s="100" t="n"/>
      <c r="D223" s="96">
        <f>IF($C223="","",IFERROR(INDEX(INVENTARIO!$C$7:$C$26,MATCH($C223,INVENTARIO!$B$7:$B$26,0)),"⚠ ID no existe"))</f>
        <v/>
      </c>
      <c r="E223" s="127" t="n"/>
      <c r="F223" s="128" t="n"/>
      <c r="G223" s="129" t="n"/>
      <c r="H223" s="112">
        <f>IF($C223="","",$F223*$G223)</f>
        <v/>
      </c>
      <c r="I223" s="100" t="n"/>
      <c r="J223" s="115">
        <f>IF($C223="","",IF($I223="Tarjeta Citi",CFG_CITI,0))</f>
        <v/>
      </c>
      <c r="K223" s="112">
        <f>IF($C223="","",$H223*$J223)</f>
        <v/>
      </c>
      <c r="L223" s="114">
        <f>IF($C223="","",$H223+$K223)</f>
        <v/>
      </c>
      <c r="M223" s="113">
        <f>IF(OR($C223="",N($F223)=0),"",$L223/$F223)</f>
        <v/>
      </c>
      <c r="N223" s="127" t="n"/>
    </row>
    <row r="224">
      <c r="B224" s="101" t="n"/>
      <c r="C224" s="100" t="n"/>
      <c r="D224" s="96">
        <f>IF($C224="","",IFERROR(INDEX(INVENTARIO!$C$7:$C$26,MATCH($C224,INVENTARIO!$B$7:$B$26,0)),"⚠ ID no existe"))</f>
        <v/>
      </c>
      <c r="E224" s="127" t="n"/>
      <c r="F224" s="128" t="n"/>
      <c r="G224" s="129" t="n"/>
      <c r="H224" s="112">
        <f>IF($C224="","",$F224*$G224)</f>
        <v/>
      </c>
      <c r="I224" s="100" t="n"/>
      <c r="J224" s="115">
        <f>IF($C224="","",IF($I224="Tarjeta Citi",CFG_CITI,0))</f>
        <v/>
      </c>
      <c r="K224" s="112">
        <f>IF($C224="","",$H224*$J224)</f>
        <v/>
      </c>
      <c r="L224" s="114">
        <f>IF($C224="","",$H224+$K224)</f>
        <v/>
      </c>
      <c r="M224" s="113">
        <f>IF(OR($C224="",N($F224)=0),"",$L224/$F224)</f>
        <v/>
      </c>
      <c r="N224" s="127" t="n"/>
    </row>
    <row r="225">
      <c r="B225" s="101" t="n"/>
      <c r="C225" s="100" t="n"/>
      <c r="D225" s="96">
        <f>IF($C225="","",IFERROR(INDEX(INVENTARIO!$C$7:$C$26,MATCH($C225,INVENTARIO!$B$7:$B$26,0)),"⚠ ID no existe"))</f>
        <v/>
      </c>
      <c r="E225" s="127" t="n"/>
      <c r="F225" s="128" t="n"/>
      <c r="G225" s="129" t="n"/>
      <c r="H225" s="112">
        <f>IF($C225="","",$F225*$G225)</f>
        <v/>
      </c>
      <c r="I225" s="100" t="n"/>
      <c r="J225" s="115">
        <f>IF($C225="","",IF($I225="Tarjeta Citi",CFG_CITI,0))</f>
        <v/>
      </c>
      <c r="K225" s="112">
        <f>IF($C225="","",$H225*$J225)</f>
        <v/>
      </c>
      <c r="L225" s="114">
        <f>IF($C225="","",$H225+$K225)</f>
        <v/>
      </c>
      <c r="M225" s="113">
        <f>IF(OR($C225="",N($F225)=0),"",$L225/$F225)</f>
        <v/>
      </c>
      <c r="N225" s="127" t="n"/>
    </row>
    <row r="226">
      <c r="B226" s="101" t="n"/>
      <c r="C226" s="100" t="n"/>
      <c r="D226" s="96">
        <f>IF($C226="","",IFERROR(INDEX(INVENTARIO!$C$7:$C$26,MATCH($C226,INVENTARIO!$B$7:$B$26,0)),"⚠ ID no existe"))</f>
        <v/>
      </c>
      <c r="E226" s="127" t="n"/>
      <c r="F226" s="128" t="n"/>
      <c r="G226" s="129" t="n"/>
      <c r="H226" s="112">
        <f>IF($C226="","",$F226*$G226)</f>
        <v/>
      </c>
      <c r="I226" s="100" t="n"/>
      <c r="J226" s="115">
        <f>IF($C226="","",IF($I226="Tarjeta Citi",CFG_CITI,0))</f>
        <v/>
      </c>
      <c r="K226" s="112">
        <f>IF($C226="","",$H226*$J226)</f>
        <v/>
      </c>
      <c r="L226" s="114">
        <f>IF($C226="","",$H226+$K226)</f>
        <v/>
      </c>
      <c r="M226" s="113">
        <f>IF(OR($C226="",N($F226)=0),"",$L226/$F226)</f>
        <v/>
      </c>
      <c r="N226" s="127" t="n"/>
    </row>
    <row r="227">
      <c r="B227" s="101" t="n"/>
      <c r="C227" s="100" t="n"/>
      <c r="D227" s="96">
        <f>IF($C227="","",IFERROR(INDEX(INVENTARIO!$C$7:$C$26,MATCH($C227,INVENTARIO!$B$7:$B$26,0)),"⚠ ID no existe"))</f>
        <v/>
      </c>
      <c r="E227" s="127" t="n"/>
      <c r="F227" s="128" t="n"/>
      <c r="G227" s="129" t="n"/>
      <c r="H227" s="112">
        <f>IF($C227="","",$F227*$G227)</f>
        <v/>
      </c>
      <c r="I227" s="100" t="n"/>
      <c r="J227" s="115">
        <f>IF($C227="","",IF($I227="Tarjeta Citi",CFG_CITI,0))</f>
        <v/>
      </c>
      <c r="K227" s="112">
        <f>IF($C227="","",$H227*$J227)</f>
        <v/>
      </c>
      <c r="L227" s="114">
        <f>IF($C227="","",$H227+$K227)</f>
        <v/>
      </c>
      <c r="M227" s="113">
        <f>IF(OR($C227="",N($F227)=0),"",$L227/$F227)</f>
        <v/>
      </c>
      <c r="N227" s="127" t="n"/>
    </row>
    <row r="228">
      <c r="B228" s="101" t="n"/>
      <c r="C228" s="100" t="n"/>
      <c r="D228" s="96">
        <f>IF($C228="","",IFERROR(INDEX(INVENTARIO!$C$7:$C$26,MATCH($C228,INVENTARIO!$B$7:$B$26,0)),"⚠ ID no existe"))</f>
        <v/>
      </c>
      <c r="E228" s="127" t="n"/>
      <c r="F228" s="128" t="n"/>
      <c r="G228" s="129" t="n"/>
      <c r="H228" s="112">
        <f>IF($C228="","",$F228*$G228)</f>
        <v/>
      </c>
      <c r="I228" s="100" t="n"/>
      <c r="J228" s="115">
        <f>IF($C228="","",IF($I228="Tarjeta Citi",CFG_CITI,0))</f>
        <v/>
      </c>
      <c r="K228" s="112">
        <f>IF($C228="","",$H228*$J228)</f>
        <v/>
      </c>
      <c r="L228" s="114">
        <f>IF($C228="","",$H228+$K228)</f>
        <v/>
      </c>
      <c r="M228" s="113">
        <f>IF(OR($C228="",N($F228)=0),"",$L228/$F228)</f>
        <v/>
      </c>
      <c r="N228" s="127" t="n"/>
    </row>
    <row r="229">
      <c r="B229" s="101" t="n"/>
      <c r="C229" s="100" t="n"/>
      <c r="D229" s="96">
        <f>IF($C229="","",IFERROR(INDEX(INVENTARIO!$C$7:$C$26,MATCH($C229,INVENTARIO!$B$7:$B$26,0)),"⚠ ID no existe"))</f>
        <v/>
      </c>
      <c r="E229" s="127" t="n"/>
      <c r="F229" s="128" t="n"/>
      <c r="G229" s="129" t="n"/>
      <c r="H229" s="112">
        <f>IF($C229="","",$F229*$G229)</f>
        <v/>
      </c>
      <c r="I229" s="100" t="n"/>
      <c r="J229" s="115">
        <f>IF($C229="","",IF($I229="Tarjeta Citi",CFG_CITI,0))</f>
        <v/>
      </c>
      <c r="K229" s="112">
        <f>IF($C229="","",$H229*$J229)</f>
        <v/>
      </c>
      <c r="L229" s="114">
        <f>IF($C229="","",$H229+$K229)</f>
        <v/>
      </c>
      <c r="M229" s="113">
        <f>IF(OR($C229="",N($F229)=0),"",$L229/$F229)</f>
        <v/>
      </c>
      <c r="N229" s="127" t="n"/>
    </row>
    <row r="230">
      <c r="B230" s="101" t="n"/>
      <c r="C230" s="100" t="n"/>
      <c r="D230" s="96">
        <f>IF($C230="","",IFERROR(INDEX(INVENTARIO!$C$7:$C$26,MATCH($C230,INVENTARIO!$B$7:$B$26,0)),"⚠ ID no existe"))</f>
        <v/>
      </c>
      <c r="E230" s="127" t="n"/>
      <c r="F230" s="128" t="n"/>
      <c r="G230" s="129" t="n"/>
      <c r="H230" s="112">
        <f>IF($C230="","",$F230*$G230)</f>
        <v/>
      </c>
      <c r="I230" s="100" t="n"/>
      <c r="J230" s="115">
        <f>IF($C230="","",IF($I230="Tarjeta Citi",CFG_CITI,0))</f>
        <v/>
      </c>
      <c r="K230" s="112">
        <f>IF($C230="","",$H230*$J230)</f>
        <v/>
      </c>
      <c r="L230" s="114">
        <f>IF($C230="","",$H230+$K230)</f>
        <v/>
      </c>
      <c r="M230" s="113">
        <f>IF(OR($C230="",N($F230)=0),"",$L230/$F230)</f>
        <v/>
      </c>
      <c r="N230" s="127" t="n"/>
    </row>
    <row r="231">
      <c r="B231" s="101" t="n"/>
      <c r="C231" s="100" t="n"/>
      <c r="D231" s="96">
        <f>IF($C231="","",IFERROR(INDEX(INVENTARIO!$C$7:$C$26,MATCH($C231,INVENTARIO!$B$7:$B$26,0)),"⚠ ID no existe"))</f>
        <v/>
      </c>
      <c r="E231" s="127" t="n"/>
      <c r="F231" s="128" t="n"/>
      <c r="G231" s="129" t="n"/>
      <c r="H231" s="112">
        <f>IF($C231="","",$F231*$G231)</f>
        <v/>
      </c>
      <c r="I231" s="100" t="n"/>
      <c r="J231" s="115">
        <f>IF($C231="","",IF($I231="Tarjeta Citi",CFG_CITI,0))</f>
        <v/>
      </c>
      <c r="K231" s="112">
        <f>IF($C231="","",$H231*$J231)</f>
        <v/>
      </c>
      <c r="L231" s="114">
        <f>IF($C231="","",$H231+$K231)</f>
        <v/>
      </c>
      <c r="M231" s="113">
        <f>IF(OR($C231="",N($F231)=0),"",$L231/$F231)</f>
        <v/>
      </c>
      <c r="N231" s="127" t="n"/>
    </row>
    <row r="232">
      <c r="B232" s="101" t="n"/>
      <c r="C232" s="100" t="n"/>
      <c r="D232" s="96">
        <f>IF($C232="","",IFERROR(INDEX(INVENTARIO!$C$7:$C$26,MATCH($C232,INVENTARIO!$B$7:$B$26,0)),"⚠ ID no existe"))</f>
        <v/>
      </c>
      <c r="E232" s="127" t="n"/>
      <c r="F232" s="128" t="n"/>
      <c r="G232" s="129" t="n"/>
      <c r="H232" s="112">
        <f>IF($C232="","",$F232*$G232)</f>
        <v/>
      </c>
      <c r="I232" s="100" t="n"/>
      <c r="J232" s="115">
        <f>IF($C232="","",IF($I232="Tarjeta Citi",CFG_CITI,0))</f>
        <v/>
      </c>
      <c r="K232" s="112">
        <f>IF($C232="","",$H232*$J232)</f>
        <v/>
      </c>
      <c r="L232" s="114">
        <f>IF($C232="","",$H232+$K232)</f>
        <v/>
      </c>
      <c r="M232" s="113">
        <f>IF(OR($C232="",N($F232)=0),"",$L232/$F232)</f>
        <v/>
      </c>
      <c r="N232" s="127" t="n"/>
    </row>
    <row r="233">
      <c r="B233" s="101" t="n"/>
      <c r="C233" s="100" t="n"/>
      <c r="D233" s="96">
        <f>IF($C233="","",IFERROR(INDEX(INVENTARIO!$C$7:$C$26,MATCH($C233,INVENTARIO!$B$7:$B$26,0)),"⚠ ID no existe"))</f>
        <v/>
      </c>
      <c r="E233" s="127" t="n"/>
      <c r="F233" s="128" t="n"/>
      <c r="G233" s="129" t="n"/>
      <c r="H233" s="112">
        <f>IF($C233="","",$F233*$G233)</f>
        <v/>
      </c>
      <c r="I233" s="100" t="n"/>
      <c r="J233" s="115">
        <f>IF($C233="","",IF($I233="Tarjeta Citi",CFG_CITI,0))</f>
        <v/>
      </c>
      <c r="K233" s="112">
        <f>IF($C233="","",$H233*$J233)</f>
        <v/>
      </c>
      <c r="L233" s="114">
        <f>IF($C233="","",$H233+$K233)</f>
        <v/>
      </c>
      <c r="M233" s="113">
        <f>IF(OR($C233="",N($F233)=0),"",$L233/$F233)</f>
        <v/>
      </c>
      <c r="N233" s="127" t="n"/>
    </row>
    <row r="234">
      <c r="B234" s="101" t="n"/>
      <c r="C234" s="100" t="n"/>
      <c r="D234" s="96">
        <f>IF($C234="","",IFERROR(INDEX(INVENTARIO!$C$7:$C$26,MATCH($C234,INVENTARIO!$B$7:$B$26,0)),"⚠ ID no existe"))</f>
        <v/>
      </c>
      <c r="E234" s="127" t="n"/>
      <c r="F234" s="128" t="n"/>
      <c r="G234" s="129" t="n"/>
      <c r="H234" s="112">
        <f>IF($C234="","",$F234*$G234)</f>
        <v/>
      </c>
      <c r="I234" s="100" t="n"/>
      <c r="J234" s="115">
        <f>IF($C234="","",IF($I234="Tarjeta Citi",CFG_CITI,0))</f>
        <v/>
      </c>
      <c r="K234" s="112">
        <f>IF($C234="","",$H234*$J234)</f>
        <v/>
      </c>
      <c r="L234" s="114">
        <f>IF($C234="","",$H234+$K234)</f>
        <v/>
      </c>
      <c r="M234" s="113">
        <f>IF(OR($C234="",N($F234)=0),"",$L234/$F234)</f>
        <v/>
      </c>
      <c r="N234" s="127" t="n"/>
    </row>
    <row r="235">
      <c r="B235" s="101" t="n"/>
      <c r="C235" s="100" t="n"/>
      <c r="D235" s="96">
        <f>IF($C235="","",IFERROR(INDEX(INVENTARIO!$C$7:$C$26,MATCH($C235,INVENTARIO!$B$7:$B$26,0)),"⚠ ID no existe"))</f>
        <v/>
      </c>
      <c r="E235" s="127" t="n"/>
      <c r="F235" s="128" t="n"/>
      <c r="G235" s="129" t="n"/>
      <c r="H235" s="112">
        <f>IF($C235="","",$F235*$G235)</f>
        <v/>
      </c>
      <c r="I235" s="100" t="n"/>
      <c r="J235" s="115">
        <f>IF($C235="","",IF($I235="Tarjeta Citi",CFG_CITI,0))</f>
        <v/>
      </c>
      <c r="K235" s="112">
        <f>IF($C235="","",$H235*$J235)</f>
        <v/>
      </c>
      <c r="L235" s="114">
        <f>IF($C235="","",$H235+$K235)</f>
        <v/>
      </c>
      <c r="M235" s="113">
        <f>IF(OR($C235="",N($F235)=0),"",$L235/$F235)</f>
        <v/>
      </c>
      <c r="N235" s="127" t="n"/>
    </row>
    <row r="236">
      <c r="B236" s="101" t="n"/>
      <c r="C236" s="100" t="n"/>
      <c r="D236" s="96">
        <f>IF($C236="","",IFERROR(INDEX(INVENTARIO!$C$7:$C$26,MATCH($C236,INVENTARIO!$B$7:$B$26,0)),"⚠ ID no existe"))</f>
        <v/>
      </c>
      <c r="E236" s="127" t="n"/>
      <c r="F236" s="128" t="n"/>
      <c r="G236" s="129" t="n"/>
      <c r="H236" s="112">
        <f>IF($C236="","",$F236*$G236)</f>
        <v/>
      </c>
      <c r="I236" s="100" t="n"/>
      <c r="J236" s="115">
        <f>IF($C236="","",IF($I236="Tarjeta Citi",CFG_CITI,0))</f>
        <v/>
      </c>
      <c r="K236" s="112">
        <f>IF($C236="","",$H236*$J236)</f>
        <v/>
      </c>
      <c r="L236" s="114">
        <f>IF($C236="","",$H236+$K236)</f>
        <v/>
      </c>
      <c r="M236" s="113">
        <f>IF(OR($C236="",N($F236)=0),"",$L236/$F236)</f>
        <v/>
      </c>
      <c r="N236" s="127" t="n"/>
    </row>
    <row r="237">
      <c r="B237" s="101" t="n"/>
      <c r="C237" s="100" t="n"/>
      <c r="D237" s="96">
        <f>IF($C237="","",IFERROR(INDEX(INVENTARIO!$C$7:$C$26,MATCH($C237,INVENTARIO!$B$7:$B$26,0)),"⚠ ID no existe"))</f>
        <v/>
      </c>
      <c r="E237" s="127" t="n"/>
      <c r="F237" s="128" t="n"/>
      <c r="G237" s="129" t="n"/>
      <c r="H237" s="112">
        <f>IF($C237="","",$F237*$G237)</f>
        <v/>
      </c>
      <c r="I237" s="100" t="n"/>
      <c r="J237" s="115">
        <f>IF($C237="","",IF($I237="Tarjeta Citi",CFG_CITI,0))</f>
        <v/>
      </c>
      <c r="K237" s="112">
        <f>IF($C237="","",$H237*$J237)</f>
        <v/>
      </c>
      <c r="L237" s="114">
        <f>IF($C237="","",$H237+$K237)</f>
        <v/>
      </c>
      <c r="M237" s="113">
        <f>IF(OR($C237="",N($F237)=0),"",$L237/$F237)</f>
        <v/>
      </c>
      <c r="N237" s="127" t="n"/>
    </row>
    <row r="238">
      <c r="B238" s="101" t="n"/>
      <c r="C238" s="100" t="n"/>
      <c r="D238" s="96">
        <f>IF($C238="","",IFERROR(INDEX(INVENTARIO!$C$7:$C$26,MATCH($C238,INVENTARIO!$B$7:$B$26,0)),"⚠ ID no existe"))</f>
        <v/>
      </c>
      <c r="E238" s="127" t="n"/>
      <c r="F238" s="128" t="n"/>
      <c r="G238" s="129" t="n"/>
      <c r="H238" s="112">
        <f>IF($C238="","",$F238*$G238)</f>
        <v/>
      </c>
      <c r="I238" s="100" t="n"/>
      <c r="J238" s="115">
        <f>IF($C238="","",IF($I238="Tarjeta Citi",CFG_CITI,0))</f>
        <v/>
      </c>
      <c r="K238" s="112">
        <f>IF($C238="","",$H238*$J238)</f>
        <v/>
      </c>
      <c r="L238" s="114">
        <f>IF($C238="","",$H238+$K238)</f>
        <v/>
      </c>
      <c r="M238" s="113">
        <f>IF(OR($C238="",N($F238)=0),"",$L238/$F238)</f>
        <v/>
      </c>
      <c r="N238" s="127" t="n"/>
    </row>
    <row r="239">
      <c r="B239" s="101" t="n"/>
      <c r="C239" s="100" t="n"/>
      <c r="D239" s="96">
        <f>IF($C239="","",IFERROR(INDEX(INVENTARIO!$C$7:$C$26,MATCH($C239,INVENTARIO!$B$7:$B$26,0)),"⚠ ID no existe"))</f>
        <v/>
      </c>
      <c r="E239" s="127" t="n"/>
      <c r="F239" s="128" t="n"/>
      <c r="G239" s="129" t="n"/>
      <c r="H239" s="112">
        <f>IF($C239="","",$F239*$G239)</f>
        <v/>
      </c>
      <c r="I239" s="100" t="n"/>
      <c r="J239" s="115">
        <f>IF($C239="","",IF($I239="Tarjeta Citi",CFG_CITI,0))</f>
        <v/>
      </c>
      <c r="K239" s="112">
        <f>IF($C239="","",$H239*$J239)</f>
        <v/>
      </c>
      <c r="L239" s="114">
        <f>IF($C239="","",$H239+$K239)</f>
        <v/>
      </c>
      <c r="M239" s="113">
        <f>IF(OR($C239="",N($F239)=0),"",$L239/$F239)</f>
        <v/>
      </c>
      <c r="N239" s="127" t="n"/>
    </row>
    <row r="240">
      <c r="B240" s="101" t="n"/>
      <c r="C240" s="100" t="n"/>
      <c r="D240" s="96">
        <f>IF($C240="","",IFERROR(INDEX(INVENTARIO!$C$7:$C$26,MATCH($C240,INVENTARIO!$B$7:$B$26,0)),"⚠ ID no existe"))</f>
        <v/>
      </c>
      <c r="E240" s="127" t="n"/>
      <c r="F240" s="128" t="n"/>
      <c r="G240" s="129" t="n"/>
      <c r="H240" s="112">
        <f>IF($C240="","",$F240*$G240)</f>
        <v/>
      </c>
      <c r="I240" s="100" t="n"/>
      <c r="J240" s="115">
        <f>IF($C240="","",IF($I240="Tarjeta Citi",CFG_CITI,0))</f>
        <v/>
      </c>
      <c r="K240" s="112">
        <f>IF($C240="","",$H240*$J240)</f>
        <v/>
      </c>
      <c r="L240" s="114">
        <f>IF($C240="","",$H240+$K240)</f>
        <v/>
      </c>
      <c r="M240" s="113">
        <f>IF(OR($C240="",N($F240)=0),"",$L240/$F240)</f>
        <v/>
      </c>
      <c r="N240" s="127" t="n"/>
    </row>
    <row r="241">
      <c r="B241" s="101" t="n"/>
      <c r="C241" s="100" t="n"/>
      <c r="D241" s="96">
        <f>IF($C241="","",IFERROR(INDEX(INVENTARIO!$C$7:$C$26,MATCH($C241,INVENTARIO!$B$7:$B$26,0)),"⚠ ID no existe"))</f>
        <v/>
      </c>
      <c r="E241" s="127" t="n"/>
      <c r="F241" s="128" t="n"/>
      <c r="G241" s="129" t="n"/>
      <c r="H241" s="112">
        <f>IF($C241="","",$F241*$G241)</f>
        <v/>
      </c>
      <c r="I241" s="100" t="n"/>
      <c r="J241" s="115">
        <f>IF($C241="","",IF($I241="Tarjeta Citi",CFG_CITI,0))</f>
        <v/>
      </c>
      <c r="K241" s="112">
        <f>IF($C241="","",$H241*$J241)</f>
        <v/>
      </c>
      <c r="L241" s="114">
        <f>IF($C241="","",$H241+$K241)</f>
        <v/>
      </c>
      <c r="M241" s="113">
        <f>IF(OR($C241="",N($F241)=0),"",$L241/$F241)</f>
        <v/>
      </c>
      <c r="N241" s="127" t="n"/>
    </row>
    <row r="242">
      <c r="B242" s="101" t="n"/>
      <c r="C242" s="100" t="n"/>
      <c r="D242" s="96">
        <f>IF($C242="","",IFERROR(INDEX(INVENTARIO!$C$7:$C$26,MATCH($C242,INVENTARIO!$B$7:$B$26,0)),"⚠ ID no existe"))</f>
        <v/>
      </c>
      <c r="E242" s="127" t="n"/>
      <c r="F242" s="128" t="n"/>
      <c r="G242" s="129" t="n"/>
      <c r="H242" s="112">
        <f>IF($C242="","",$F242*$G242)</f>
        <v/>
      </c>
      <c r="I242" s="100" t="n"/>
      <c r="J242" s="115">
        <f>IF($C242="","",IF($I242="Tarjeta Citi",CFG_CITI,0))</f>
        <v/>
      </c>
      <c r="K242" s="112">
        <f>IF($C242="","",$H242*$J242)</f>
        <v/>
      </c>
      <c r="L242" s="114">
        <f>IF($C242="","",$H242+$K242)</f>
        <v/>
      </c>
      <c r="M242" s="113">
        <f>IF(OR($C242="",N($F242)=0),"",$L242/$F242)</f>
        <v/>
      </c>
      <c r="N242" s="127" t="n"/>
    </row>
    <row r="243">
      <c r="B243" s="101" t="n"/>
      <c r="C243" s="100" t="n"/>
      <c r="D243" s="96">
        <f>IF($C243="","",IFERROR(INDEX(INVENTARIO!$C$7:$C$26,MATCH($C243,INVENTARIO!$B$7:$B$26,0)),"⚠ ID no existe"))</f>
        <v/>
      </c>
      <c r="E243" s="127" t="n"/>
      <c r="F243" s="128" t="n"/>
      <c r="G243" s="129" t="n"/>
      <c r="H243" s="112">
        <f>IF($C243="","",$F243*$G243)</f>
        <v/>
      </c>
      <c r="I243" s="100" t="n"/>
      <c r="J243" s="115">
        <f>IF($C243="","",IF($I243="Tarjeta Citi",CFG_CITI,0))</f>
        <v/>
      </c>
      <c r="K243" s="112">
        <f>IF($C243="","",$H243*$J243)</f>
        <v/>
      </c>
      <c r="L243" s="114">
        <f>IF($C243="","",$H243+$K243)</f>
        <v/>
      </c>
      <c r="M243" s="113">
        <f>IF(OR($C243="",N($F243)=0),"",$L243/$F243)</f>
        <v/>
      </c>
      <c r="N243" s="127" t="n"/>
    </row>
    <row r="244">
      <c r="B244" s="101" t="n"/>
      <c r="C244" s="100" t="n"/>
      <c r="D244" s="96">
        <f>IF($C244="","",IFERROR(INDEX(INVENTARIO!$C$7:$C$26,MATCH($C244,INVENTARIO!$B$7:$B$26,0)),"⚠ ID no existe"))</f>
        <v/>
      </c>
      <c r="E244" s="127" t="n"/>
      <c r="F244" s="128" t="n"/>
      <c r="G244" s="129" t="n"/>
      <c r="H244" s="112">
        <f>IF($C244="","",$F244*$G244)</f>
        <v/>
      </c>
      <c r="I244" s="100" t="n"/>
      <c r="J244" s="115">
        <f>IF($C244="","",IF($I244="Tarjeta Citi",CFG_CITI,0))</f>
        <v/>
      </c>
      <c r="K244" s="112">
        <f>IF($C244="","",$H244*$J244)</f>
        <v/>
      </c>
      <c r="L244" s="114">
        <f>IF($C244="","",$H244+$K244)</f>
        <v/>
      </c>
      <c r="M244" s="113">
        <f>IF(OR($C244="",N($F244)=0),"",$L244/$F244)</f>
        <v/>
      </c>
      <c r="N244" s="127" t="n"/>
    </row>
    <row r="245">
      <c r="B245" s="101" t="n"/>
      <c r="C245" s="100" t="n"/>
      <c r="D245" s="96">
        <f>IF($C245="","",IFERROR(INDEX(INVENTARIO!$C$7:$C$26,MATCH($C245,INVENTARIO!$B$7:$B$26,0)),"⚠ ID no existe"))</f>
        <v/>
      </c>
      <c r="E245" s="127" t="n"/>
      <c r="F245" s="128" t="n"/>
      <c r="G245" s="129" t="n"/>
      <c r="H245" s="112">
        <f>IF($C245="","",$F245*$G245)</f>
        <v/>
      </c>
      <c r="I245" s="100" t="n"/>
      <c r="J245" s="115">
        <f>IF($C245="","",IF($I245="Tarjeta Citi",CFG_CITI,0))</f>
        <v/>
      </c>
      <c r="K245" s="112">
        <f>IF($C245="","",$H245*$J245)</f>
        <v/>
      </c>
      <c r="L245" s="114">
        <f>IF($C245="","",$H245+$K245)</f>
        <v/>
      </c>
      <c r="M245" s="113">
        <f>IF(OR($C245="",N($F245)=0),"",$L245/$F245)</f>
        <v/>
      </c>
      <c r="N245" s="127" t="n"/>
    </row>
    <row r="246">
      <c r="B246" s="101" t="n"/>
      <c r="C246" s="100" t="n"/>
      <c r="D246" s="96">
        <f>IF($C246="","",IFERROR(INDEX(INVENTARIO!$C$7:$C$26,MATCH($C246,INVENTARIO!$B$7:$B$26,0)),"⚠ ID no existe"))</f>
        <v/>
      </c>
      <c r="E246" s="127" t="n"/>
      <c r="F246" s="128" t="n"/>
      <c r="G246" s="129" t="n"/>
      <c r="H246" s="112">
        <f>IF($C246="","",$F246*$G246)</f>
        <v/>
      </c>
      <c r="I246" s="100" t="n"/>
      <c r="J246" s="115">
        <f>IF($C246="","",IF($I246="Tarjeta Citi",CFG_CITI,0))</f>
        <v/>
      </c>
      <c r="K246" s="112">
        <f>IF($C246="","",$H246*$J246)</f>
        <v/>
      </c>
      <c r="L246" s="114">
        <f>IF($C246="","",$H246+$K246)</f>
        <v/>
      </c>
      <c r="M246" s="113">
        <f>IF(OR($C246="",N($F246)=0),"",$L246/$F246)</f>
        <v/>
      </c>
      <c r="N246" s="127" t="n"/>
    </row>
    <row r="247">
      <c r="B247" s="101" t="n"/>
      <c r="C247" s="100" t="n"/>
      <c r="D247" s="96">
        <f>IF($C247="","",IFERROR(INDEX(INVENTARIO!$C$7:$C$26,MATCH($C247,INVENTARIO!$B$7:$B$26,0)),"⚠ ID no existe"))</f>
        <v/>
      </c>
      <c r="E247" s="127" t="n"/>
      <c r="F247" s="128" t="n"/>
      <c r="G247" s="129" t="n"/>
      <c r="H247" s="112">
        <f>IF($C247="","",$F247*$G247)</f>
        <v/>
      </c>
      <c r="I247" s="100" t="n"/>
      <c r="J247" s="115">
        <f>IF($C247="","",IF($I247="Tarjeta Citi",CFG_CITI,0))</f>
        <v/>
      </c>
      <c r="K247" s="112">
        <f>IF($C247="","",$H247*$J247)</f>
        <v/>
      </c>
      <c r="L247" s="114">
        <f>IF($C247="","",$H247+$K247)</f>
        <v/>
      </c>
      <c r="M247" s="113">
        <f>IF(OR($C247="",N($F247)=0),"",$L247/$F247)</f>
        <v/>
      </c>
      <c r="N247" s="127" t="n"/>
    </row>
    <row r="248">
      <c r="B248" s="101" t="n"/>
      <c r="C248" s="100" t="n"/>
      <c r="D248" s="96">
        <f>IF($C248="","",IFERROR(INDEX(INVENTARIO!$C$7:$C$26,MATCH($C248,INVENTARIO!$B$7:$B$26,0)),"⚠ ID no existe"))</f>
        <v/>
      </c>
      <c r="E248" s="127" t="n"/>
      <c r="F248" s="128" t="n"/>
      <c r="G248" s="129" t="n"/>
      <c r="H248" s="112">
        <f>IF($C248="","",$F248*$G248)</f>
        <v/>
      </c>
      <c r="I248" s="100" t="n"/>
      <c r="J248" s="115">
        <f>IF($C248="","",IF($I248="Tarjeta Citi",CFG_CITI,0))</f>
        <v/>
      </c>
      <c r="K248" s="112">
        <f>IF($C248="","",$H248*$J248)</f>
        <v/>
      </c>
      <c r="L248" s="114">
        <f>IF($C248="","",$H248+$K248)</f>
        <v/>
      </c>
      <c r="M248" s="113">
        <f>IF(OR($C248="",N($F248)=0),"",$L248/$F248)</f>
        <v/>
      </c>
      <c r="N248" s="127" t="n"/>
    </row>
    <row r="249">
      <c r="B249" s="101" t="n"/>
      <c r="C249" s="100" t="n"/>
      <c r="D249" s="96">
        <f>IF($C249="","",IFERROR(INDEX(INVENTARIO!$C$7:$C$26,MATCH($C249,INVENTARIO!$B$7:$B$26,0)),"⚠ ID no existe"))</f>
        <v/>
      </c>
      <c r="E249" s="127" t="n"/>
      <c r="F249" s="128" t="n"/>
      <c r="G249" s="129" t="n"/>
      <c r="H249" s="112">
        <f>IF($C249="","",$F249*$G249)</f>
        <v/>
      </c>
      <c r="I249" s="100" t="n"/>
      <c r="J249" s="115">
        <f>IF($C249="","",IF($I249="Tarjeta Citi",CFG_CITI,0))</f>
        <v/>
      </c>
      <c r="K249" s="112">
        <f>IF($C249="","",$H249*$J249)</f>
        <v/>
      </c>
      <c r="L249" s="114">
        <f>IF($C249="","",$H249+$K249)</f>
        <v/>
      </c>
      <c r="M249" s="113">
        <f>IF(OR($C249="",N($F249)=0),"",$L249/$F249)</f>
        <v/>
      </c>
      <c r="N249" s="127" t="n"/>
    </row>
    <row r="250">
      <c r="B250" s="101" t="n"/>
      <c r="C250" s="100" t="n"/>
      <c r="D250" s="96">
        <f>IF($C250="","",IFERROR(INDEX(INVENTARIO!$C$7:$C$26,MATCH($C250,INVENTARIO!$B$7:$B$26,0)),"⚠ ID no existe"))</f>
        <v/>
      </c>
      <c r="E250" s="127" t="n"/>
      <c r="F250" s="128" t="n"/>
      <c r="G250" s="129" t="n"/>
      <c r="H250" s="112">
        <f>IF($C250="","",$F250*$G250)</f>
        <v/>
      </c>
      <c r="I250" s="100" t="n"/>
      <c r="J250" s="115">
        <f>IF($C250="","",IF($I250="Tarjeta Citi",CFG_CITI,0))</f>
        <v/>
      </c>
      <c r="K250" s="112">
        <f>IF($C250="","",$H250*$J250)</f>
        <v/>
      </c>
      <c r="L250" s="114">
        <f>IF($C250="","",$H250+$K250)</f>
        <v/>
      </c>
      <c r="M250" s="113">
        <f>IF(OR($C250="",N($F250)=0),"",$L250/$F250)</f>
        <v/>
      </c>
      <c r="N250" s="127" t="n"/>
    </row>
    <row r="251">
      <c r="B251" s="101" t="n"/>
      <c r="C251" s="100" t="n"/>
      <c r="D251" s="96">
        <f>IF($C251="","",IFERROR(INDEX(INVENTARIO!$C$7:$C$26,MATCH($C251,INVENTARIO!$B$7:$B$26,0)),"⚠ ID no existe"))</f>
        <v/>
      </c>
      <c r="E251" s="127" t="n"/>
      <c r="F251" s="128" t="n"/>
      <c r="G251" s="129" t="n"/>
      <c r="H251" s="112">
        <f>IF($C251="","",$F251*$G251)</f>
        <v/>
      </c>
      <c r="I251" s="100" t="n"/>
      <c r="J251" s="115">
        <f>IF($C251="","",IF($I251="Tarjeta Citi",CFG_CITI,0))</f>
        <v/>
      </c>
      <c r="K251" s="112">
        <f>IF($C251="","",$H251*$J251)</f>
        <v/>
      </c>
      <c r="L251" s="114">
        <f>IF($C251="","",$H251+$K251)</f>
        <v/>
      </c>
      <c r="M251" s="113">
        <f>IF(OR($C251="",N($F251)=0),"",$L251/$F251)</f>
        <v/>
      </c>
      <c r="N251" s="127" t="n"/>
    </row>
    <row r="252">
      <c r="B252" s="101" t="n"/>
      <c r="C252" s="100" t="n"/>
      <c r="D252" s="96">
        <f>IF($C252="","",IFERROR(INDEX(INVENTARIO!$C$7:$C$26,MATCH($C252,INVENTARIO!$B$7:$B$26,0)),"⚠ ID no existe"))</f>
        <v/>
      </c>
      <c r="E252" s="127" t="n"/>
      <c r="F252" s="128" t="n"/>
      <c r="G252" s="129" t="n"/>
      <c r="H252" s="112">
        <f>IF($C252="","",$F252*$G252)</f>
        <v/>
      </c>
      <c r="I252" s="100" t="n"/>
      <c r="J252" s="115">
        <f>IF($C252="","",IF($I252="Tarjeta Citi",CFG_CITI,0))</f>
        <v/>
      </c>
      <c r="K252" s="112">
        <f>IF($C252="","",$H252*$J252)</f>
        <v/>
      </c>
      <c r="L252" s="114">
        <f>IF($C252="","",$H252+$K252)</f>
        <v/>
      </c>
      <c r="M252" s="113">
        <f>IF(OR($C252="",N($F252)=0),"",$L252/$F252)</f>
        <v/>
      </c>
      <c r="N252" s="127" t="n"/>
    </row>
    <row r="253">
      <c r="B253" s="101" t="n"/>
      <c r="C253" s="100" t="n"/>
      <c r="D253" s="96">
        <f>IF($C253="","",IFERROR(INDEX(INVENTARIO!$C$7:$C$26,MATCH($C253,INVENTARIO!$B$7:$B$26,0)),"⚠ ID no existe"))</f>
        <v/>
      </c>
      <c r="E253" s="127" t="n"/>
      <c r="F253" s="128" t="n"/>
      <c r="G253" s="129" t="n"/>
      <c r="H253" s="112">
        <f>IF($C253="","",$F253*$G253)</f>
        <v/>
      </c>
      <c r="I253" s="100" t="n"/>
      <c r="J253" s="115">
        <f>IF($C253="","",IF($I253="Tarjeta Citi",CFG_CITI,0))</f>
        <v/>
      </c>
      <c r="K253" s="112">
        <f>IF($C253="","",$H253*$J253)</f>
        <v/>
      </c>
      <c r="L253" s="114">
        <f>IF($C253="","",$H253+$K253)</f>
        <v/>
      </c>
      <c r="M253" s="113">
        <f>IF(OR($C253="",N($F253)=0),"",$L253/$F253)</f>
        <v/>
      </c>
      <c r="N253" s="127" t="n"/>
    </row>
    <row r="254">
      <c r="B254" s="101" t="n"/>
      <c r="C254" s="100" t="n"/>
      <c r="D254" s="96">
        <f>IF($C254="","",IFERROR(INDEX(INVENTARIO!$C$7:$C$26,MATCH($C254,INVENTARIO!$B$7:$B$26,0)),"⚠ ID no existe"))</f>
        <v/>
      </c>
      <c r="E254" s="127" t="n"/>
      <c r="F254" s="128" t="n"/>
      <c r="G254" s="129" t="n"/>
      <c r="H254" s="112">
        <f>IF($C254="","",$F254*$G254)</f>
        <v/>
      </c>
      <c r="I254" s="100" t="n"/>
      <c r="J254" s="115">
        <f>IF($C254="","",IF($I254="Tarjeta Citi",CFG_CITI,0))</f>
        <v/>
      </c>
      <c r="K254" s="112">
        <f>IF($C254="","",$H254*$J254)</f>
        <v/>
      </c>
      <c r="L254" s="114">
        <f>IF($C254="","",$H254+$K254)</f>
        <v/>
      </c>
      <c r="M254" s="113">
        <f>IF(OR($C254="",N($F254)=0),"",$L254/$F254)</f>
        <v/>
      </c>
      <c r="N254" s="127" t="n"/>
    </row>
    <row r="255">
      <c r="B255" s="101" t="n"/>
      <c r="C255" s="100" t="n"/>
      <c r="D255" s="96">
        <f>IF($C255="","",IFERROR(INDEX(INVENTARIO!$C$7:$C$26,MATCH($C255,INVENTARIO!$B$7:$B$26,0)),"⚠ ID no existe"))</f>
        <v/>
      </c>
      <c r="E255" s="127" t="n"/>
      <c r="F255" s="128" t="n"/>
      <c r="G255" s="129" t="n"/>
      <c r="H255" s="112">
        <f>IF($C255="","",$F255*$G255)</f>
        <v/>
      </c>
      <c r="I255" s="100" t="n"/>
      <c r="J255" s="115">
        <f>IF($C255="","",IF($I255="Tarjeta Citi",CFG_CITI,0))</f>
        <v/>
      </c>
      <c r="K255" s="112">
        <f>IF($C255="","",$H255*$J255)</f>
        <v/>
      </c>
      <c r="L255" s="114">
        <f>IF($C255="","",$H255+$K255)</f>
        <v/>
      </c>
      <c r="M255" s="113">
        <f>IF(OR($C255="",N($F255)=0),"",$L255/$F255)</f>
        <v/>
      </c>
      <c r="N255" s="127" t="n"/>
    </row>
    <row r="256">
      <c r="B256" s="101" t="n"/>
      <c r="C256" s="100" t="n"/>
      <c r="D256" s="96">
        <f>IF($C256="","",IFERROR(INDEX(INVENTARIO!$C$7:$C$26,MATCH($C256,INVENTARIO!$B$7:$B$26,0)),"⚠ ID no existe"))</f>
        <v/>
      </c>
      <c r="E256" s="127" t="n"/>
      <c r="F256" s="128" t="n"/>
      <c r="G256" s="129" t="n"/>
      <c r="H256" s="112">
        <f>IF($C256="","",$F256*$G256)</f>
        <v/>
      </c>
      <c r="I256" s="100" t="n"/>
      <c r="J256" s="115">
        <f>IF($C256="","",IF($I256="Tarjeta Citi",CFG_CITI,0))</f>
        <v/>
      </c>
      <c r="K256" s="112">
        <f>IF($C256="","",$H256*$J256)</f>
        <v/>
      </c>
      <c r="L256" s="114">
        <f>IF($C256="","",$H256+$K256)</f>
        <v/>
      </c>
      <c r="M256" s="113">
        <f>IF(OR($C256="",N($F256)=0),"",$L256/$F256)</f>
        <v/>
      </c>
      <c r="N256" s="127" t="n"/>
    </row>
    <row r="257">
      <c r="B257" s="101" t="n"/>
      <c r="C257" s="100" t="n"/>
      <c r="D257" s="96">
        <f>IF($C257="","",IFERROR(INDEX(INVENTARIO!$C$7:$C$26,MATCH($C257,INVENTARIO!$B$7:$B$26,0)),"⚠ ID no existe"))</f>
        <v/>
      </c>
      <c r="E257" s="127" t="n"/>
      <c r="F257" s="128" t="n"/>
      <c r="G257" s="129" t="n"/>
      <c r="H257" s="112">
        <f>IF($C257="","",$F257*$G257)</f>
        <v/>
      </c>
      <c r="I257" s="100" t="n"/>
      <c r="J257" s="115">
        <f>IF($C257="","",IF($I257="Tarjeta Citi",CFG_CITI,0))</f>
        <v/>
      </c>
      <c r="K257" s="112">
        <f>IF($C257="","",$H257*$J257)</f>
        <v/>
      </c>
      <c r="L257" s="114">
        <f>IF($C257="","",$H257+$K257)</f>
        <v/>
      </c>
      <c r="M257" s="113">
        <f>IF(OR($C257="",N($F257)=0),"",$L257/$F257)</f>
        <v/>
      </c>
      <c r="N257" s="127" t="n"/>
    </row>
    <row r="258">
      <c r="B258" s="101" t="n"/>
      <c r="C258" s="100" t="n"/>
      <c r="D258" s="96">
        <f>IF($C258="","",IFERROR(INDEX(INVENTARIO!$C$7:$C$26,MATCH($C258,INVENTARIO!$B$7:$B$26,0)),"⚠ ID no existe"))</f>
        <v/>
      </c>
      <c r="E258" s="127" t="n"/>
      <c r="F258" s="128" t="n"/>
      <c r="G258" s="129" t="n"/>
      <c r="H258" s="112">
        <f>IF($C258="","",$F258*$G258)</f>
        <v/>
      </c>
      <c r="I258" s="100" t="n"/>
      <c r="J258" s="115">
        <f>IF($C258="","",IF($I258="Tarjeta Citi",CFG_CITI,0))</f>
        <v/>
      </c>
      <c r="K258" s="112">
        <f>IF($C258="","",$H258*$J258)</f>
        <v/>
      </c>
      <c r="L258" s="114">
        <f>IF($C258="","",$H258+$K258)</f>
        <v/>
      </c>
      <c r="M258" s="113">
        <f>IF(OR($C258="",N($F258)=0),"",$L258/$F258)</f>
        <v/>
      </c>
      <c r="N258" s="127" t="n"/>
    </row>
    <row r="259">
      <c r="B259" s="101" t="n"/>
      <c r="C259" s="100" t="n"/>
      <c r="D259" s="96">
        <f>IF($C259="","",IFERROR(INDEX(INVENTARIO!$C$7:$C$26,MATCH($C259,INVENTARIO!$B$7:$B$26,0)),"⚠ ID no existe"))</f>
        <v/>
      </c>
      <c r="E259" s="127" t="n"/>
      <c r="F259" s="128" t="n"/>
      <c r="G259" s="129" t="n"/>
      <c r="H259" s="112">
        <f>IF($C259="","",$F259*$G259)</f>
        <v/>
      </c>
      <c r="I259" s="100" t="n"/>
      <c r="J259" s="115">
        <f>IF($C259="","",IF($I259="Tarjeta Citi",CFG_CITI,0))</f>
        <v/>
      </c>
      <c r="K259" s="112">
        <f>IF($C259="","",$H259*$J259)</f>
        <v/>
      </c>
      <c r="L259" s="114">
        <f>IF($C259="","",$H259+$K259)</f>
        <v/>
      </c>
      <c r="M259" s="113">
        <f>IF(OR($C259="",N($F259)=0),"",$L259/$F259)</f>
        <v/>
      </c>
      <c r="N259" s="127" t="n"/>
    </row>
    <row r="260">
      <c r="B260" s="101" t="n"/>
      <c r="C260" s="100" t="n"/>
      <c r="D260" s="96">
        <f>IF($C260="","",IFERROR(INDEX(INVENTARIO!$C$7:$C$26,MATCH($C260,INVENTARIO!$B$7:$B$26,0)),"⚠ ID no existe"))</f>
        <v/>
      </c>
      <c r="E260" s="127" t="n"/>
      <c r="F260" s="128" t="n"/>
      <c r="G260" s="129" t="n"/>
      <c r="H260" s="112">
        <f>IF($C260="","",$F260*$G260)</f>
        <v/>
      </c>
      <c r="I260" s="100" t="n"/>
      <c r="J260" s="115">
        <f>IF($C260="","",IF($I260="Tarjeta Citi",CFG_CITI,0))</f>
        <v/>
      </c>
      <c r="K260" s="112">
        <f>IF($C260="","",$H260*$J260)</f>
        <v/>
      </c>
      <c r="L260" s="114">
        <f>IF($C260="","",$H260+$K260)</f>
        <v/>
      </c>
      <c r="M260" s="113">
        <f>IF(OR($C260="",N($F260)=0),"",$L260/$F260)</f>
        <v/>
      </c>
      <c r="N260" s="127" t="n"/>
    </row>
    <row r="261">
      <c r="B261" s="101" t="n"/>
      <c r="C261" s="100" t="n"/>
      <c r="D261" s="96">
        <f>IF($C261="","",IFERROR(INDEX(INVENTARIO!$C$7:$C$26,MATCH($C261,INVENTARIO!$B$7:$B$26,0)),"⚠ ID no existe"))</f>
        <v/>
      </c>
      <c r="E261" s="127" t="n"/>
      <c r="F261" s="128" t="n"/>
      <c r="G261" s="129" t="n"/>
      <c r="H261" s="112">
        <f>IF($C261="","",$F261*$G261)</f>
        <v/>
      </c>
      <c r="I261" s="100" t="n"/>
      <c r="J261" s="115">
        <f>IF($C261="","",IF($I261="Tarjeta Citi",CFG_CITI,0))</f>
        <v/>
      </c>
      <c r="K261" s="112">
        <f>IF($C261="","",$H261*$J261)</f>
        <v/>
      </c>
      <c r="L261" s="114">
        <f>IF($C261="","",$H261+$K261)</f>
        <v/>
      </c>
      <c r="M261" s="113">
        <f>IF(OR($C261="",N($F261)=0),"",$L261/$F261)</f>
        <v/>
      </c>
      <c r="N261" s="127" t="n"/>
    </row>
    <row r="262">
      <c r="B262" s="101" t="n"/>
      <c r="C262" s="100" t="n"/>
      <c r="D262" s="96">
        <f>IF($C262="","",IFERROR(INDEX(INVENTARIO!$C$7:$C$26,MATCH($C262,INVENTARIO!$B$7:$B$26,0)),"⚠ ID no existe"))</f>
        <v/>
      </c>
      <c r="E262" s="127" t="n"/>
      <c r="F262" s="128" t="n"/>
      <c r="G262" s="129" t="n"/>
      <c r="H262" s="112">
        <f>IF($C262="","",$F262*$G262)</f>
        <v/>
      </c>
      <c r="I262" s="100" t="n"/>
      <c r="J262" s="115">
        <f>IF($C262="","",IF($I262="Tarjeta Citi",CFG_CITI,0))</f>
        <v/>
      </c>
      <c r="K262" s="112">
        <f>IF($C262="","",$H262*$J262)</f>
        <v/>
      </c>
      <c r="L262" s="114">
        <f>IF($C262="","",$H262+$K262)</f>
        <v/>
      </c>
      <c r="M262" s="113">
        <f>IF(OR($C262="",N($F262)=0),"",$L262/$F262)</f>
        <v/>
      </c>
      <c r="N262" s="127" t="n"/>
    </row>
    <row r="263">
      <c r="B263" s="101" t="n"/>
      <c r="C263" s="100" t="n"/>
      <c r="D263" s="96">
        <f>IF($C263="","",IFERROR(INDEX(INVENTARIO!$C$7:$C$26,MATCH($C263,INVENTARIO!$B$7:$B$26,0)),"⚠ ID no existe"))</f>
        <v/>
      </c>
      <c r="E263" s="127" t="n"/>
      <c r="F263" s="128" t="n"/>
      <c r="G263" s="129" t="n"/>
      <c r="H263" s="112">
        <f>IF($C263="","",$F263*$G263)</f>
        <v/>
      </c>
      <c r="I263" s="100" t="n"/>
      <c r="J263" s="115">
        <f>IF($C263="","",IF($I263="Tarjeta Citi",CFG_CITI,0))</f>
        <v/>
      </c>
      <c r="K263" s="112">
        <f>IF($C263="","",$H263*$J263)</f>
        <v/>
      </c>
      <c r="L263" s="114">
        <f>IF($C263="","",$H263+$K263)</f>
        <v/>
      </c>
      <c r="M263" s="113">
        <f>IF(OR($C263="",N($F263)=0),"",$L263/$F263)</f>
        <v/>
      </c>
      <c r="N263" s="127" t="n"/>
    </row>
    <row r="264">
      <c r="B264" s="101" t="n"/>
      <c r="C264" s="100" t="n"/>
      <c r="D264" s="96">
        <f>IF($C264="","",IFERROR(INDEX(INVENTARIO!$C$7:$C$26,MATCH($C264,INVENTARIO!$B$7:$B$26,0)),"⚠ ID no existe"))</f>
        <v/>
      </c>
      <c r="E264" s="127" t="n"/>
      <c r="F264" s="128" t="n"/>
      <c r="G264" s="129" t="n"/>
      <c r="H264" s="112">
        <f>IF($C264="","",$F264*$G264)</f>
        <v/>
      </c>
      <c r="I264" s="100" t="n"/>
      <c r="J264" s="115">
        <f>IF($C264="","",IF($I264="Tarjeta Citi",CFG_CITI,0))</f>
        <v/>
      </c>
      <c r="K264" s="112">
        <f>IF($C264="","",$H264*$J264)</f>
        <v/>
      </c>
      <c r="L264" s="114">
        <f>IF($C264="","",$H264+$K264)</f>
        <v/>
      </c>
      <c r="M264" s="113">
        <f>IF(OR($C264="",N($F264)=0),"",$L264/$F264)</f>
        <v/>
      </c>
      <c r="N264" s="127" t="n"/>
    </row>
    <row r="265">
      <c r="B265" s="101" t="n"/>
      <c r="C265" s="100" t="n"/>
      <c r="D265" s="96">
        <f>IF($C265="","",IFERROR(INDEX(INVENTARIO!$C$7:$C$26,MATCH($C265,INVENTARIO!$B$7:$B$26,0)),"⚠ ID no existe"))</f>
        <v/>
      </c>
      <c r="E265" s="127" t="n"/>
      <c r="F265" s="128" t="n"/>
      <c r="G265" s="129" t="n"/>
      <c r="H265" s="112">
        <f>IF($C265="","",$F265*$G265)</f>
        <v/>
      </c>
      <c r="I265" s="100" t="n"/>
      <c r="J265" s="115">
        <f>IF($C265="","",IF($I265="Tarjeta Citi",CFG_CITI,0))</f>
        <v/>
      </c>
      <c r="K265" s="112">
        <f>IF($C265="","",$H265*$J265)</f>
        <v/>
      </c>
      <c r="L265" s="114">
        <f>IF($C265="","",$H265+$K265)</f>
        <v/>
      </c>
      <c r="M265" s="113">
        <f>IF(OR($C265="",N($F265)=0),"",$L265/$F265)</f>
        <v/>
      </c>
      <c r="N265" s="127" t="n"/>
    </row>
    <row r="266">
      <c r="B266" s="101" t="n"/>
      <c r="C266" s="100" t="n"/>
      <c r="D266" s="96">
        <f>IF($C266="","",IFERROR(INDEX(INVENTARIO!$C$7:$C$26,MATCH($C266,INVENTARIO!$B$7:$B$26,0)),"⚠ ID no existe"))</f>
        <v/>
      </c>
      <c r="E266" s="127" t="n"/>
      <c r="F266" s="128" t="n"/>
      <c r="G266" s="129" t="n"/>
      <c r="H266" s="112">
        <f>IF($C266="","",$F266*$G266)</f>
        <v/>
      </c>
      <c r="I266" s="100" t="n"/>
      <c r="J266" s="115">
        <f>IF($C266="","",IF($I266="Tarjeta Citi",CFG_CITI,0))</f>
        <v/>
      </c>
      <c r="K266" s="112">
        <f>IF($C266="","",$H266*$J266)</f>
        <v/>
      </c>
      <c r="L266" s="114">
        <f>IF($C266="","",$H266+$K266)</f>
        <v/>
      </c>
      <c r="M266" s="113">
        <f>IF(OR($C266="",N($F266)=0),"",$L266/$F266)</f>
        <v/>
      </c>
      <c r="N266" s="127" t="n"/>
    </row>
    <row r="267">
      <c r="B267" s="101" t="n"/>
      <c r="C267" s="100" t="n"/>
      <c r="D267" s="96">
        <f>IF($C267="","",IFERROR(INDEX(INVENTARIO!$C$7:$C$26,MATCH($C267,INVENTARIO!$B$7:$B$26,0)),"⚠ ID no existe"))</f>
        <v/>
      </c>
      <c r="E267" s="127" t="n"/>
      <c r="F267" s="128" t="n"/>
      <c r="G267" s="129" t="n"/>
      <c r="H267" s="112">
        <f>IF($C267="","",$F267*$G267)</f>
        <v/>
      </c>
      <c r="I267" s="100" t="n"/>
      <c r="J267" s="115">
        <f>IF($C267="","",IF($I267="Tarjeta Citi",CFG_CITI,0))</f>
        <v/>
      </c>
      <c r="K267" s="112">
        <f>IF($C267="","",$H267*$J267)</f>
        <v/>
      </c>
      <c r="L267" s="114">
        <f>IF($C267="","",$H267+$K267)</f>
        <v/>
      </c>
      <c r="M267" s="113">
        <f>IF(OR($C267="",N($F267)=0),"",$L267/$F267)</f>
        <v/>
      </c>
      <c r="N267" s="127" t="n"/>
    </row>
    <row r="268">
      <c r="B268" s="101" t="n"/>
      <c r="C268" s="100" t="n"/>
      <c r="D268" s="96">
        <f>IF($C268="","",IFERROR(INDEX(INVENTARIO!$C$7:$C$26,MATCH($C268,INVENTARIO!$B$7:$B$26,0)),"⚠ ID no existe"))</f>
        <v/>
      </c>
      <c r="E268" s="127" t="n"/>
      <c r="F268" s="128" t="n"/>
      <c r="G268" s="129" t="n"/>
      <c r="H268" s="112">
        <f>IF($C268="","",$F268*$G268)</f>
        <v/>
      </c>
      <c r="I268" s="100" t="n"/>
      <c r="J268" s="115">
        <f>IF($C268="","",IF($I268="Tarjeta Citi",CFG_CITI,0))</f>
        <v/>
      </c>
      <c r="K268" s="112">
        <f>IF($C268="","",$H268*$J268)</f>
        <v/>
      </c>
      <c r="L268" s="114">
        <f>IF($C268="","",$H268+$K268)</f>
        <v/>
      </c>
      <c r="M268" s="113">
        <f>IF(OR($C268="",N($F268)=0),"",$L268/$F268)</f>
        <v/>
      </c>
      <c r="N268" s="127" t="n"/>
    </row>
    <row r="269">
      <c r="B269" s="101" t="n"/>
      <c r="C269" s="100" t="n"/>
      <c r="D269" s="96">
        <f>IF($C269="","",IFERROR(INDEX(INVENTARIO!$C$7:$C$26,MATCH($C269,INVENTARIO!$B$7:$B$26,0)),"⚠ ID no existe"))</f>
        <v/>
      </c>
      <c r="E269" s="127" t="n"/>
      <c r="F269" s="128" t="n"/>
      <c r="G269" s="129" t="n"/>
      <c r="H269" s="112">
        <f>IF($C269="","",$F269*$G269)</f>
        <v/>
      </c>
      <c r="I269" s="100" t="n"/>
      <c r="J269" s="115">
        <f>IF($C269="","",IF($I269="Tarjeta Citi",CFG_CITI,0))</f>
        <v/>
      </c>
      <c r="K269" s="112">
        <f>IF($C269="","",$H269*$J269)</f>
        <v/>
      </c>
      <c r="L269" s="114">
        <f>IF($C269="","",$H269+$K269)</f>
        <v/>
      </c>
      <c r="M269" s="113">
        <f>IF(OR($C269="",N($F269)=0),"",$L269/$F269)</f>
        <v/>
      </c>
      <c r="N269" s="127" t="n"/>
    </row>
    <row r="270">
      <c r="B270" s="101" t="n"/>
      <c r="C270" s="100" t="n"/>
      <c r="D270" s="96">
        <f>IF($C270="","",IFERROR(INDEX(INVENTARIO!$C$7:$C$26,MATCH($C270,INVENTARIO!$B$7:$B$26,0)),"⚠ ID no existe"))</f>
        <v/>
      </c>
      <c r="E270" s="127" t="n"/>
      <c r="F270" s="128" t="n"/>
      <c r="G270" s="129" t="n"/>
      <c r="H270" s="112">
        <f>IF($C270="","",$F270*$G270)</f>
        <v/>
      </c>
      <c r="I270" s="100" t="n"/>
      <c r="J270" s="115">
        <f>IF($C270="","",IF($I270="Tarjeta Citi",CFG_CITI,0))</f>
        <v/>
      </c>
      <c r="K270" s="112">
        <f>IF($C270="","",$H270*$J270)</f>
        <v/>
      </c>
      <c r="L270" s="114">
        <f>IF($C270="","",$H270+$K270)</f>
        <v/>
      </c>
      <c r="M270" s="113">
        <f>IF(OR($C270="",N($F270)=0),"",$L270/$F270)</f>
        <v/>
      </c>
      <c r="N270" s="127" t="n"/>
    </row>
    <row r="271">
      <c r="B271" s="101" t="n"/>
      <c r="C271" s="100" t="n"/>
      <c r="D271" s="96">
        <f>IF($C271="","",IFERROR(INDEX(INVENTARIO!$C$7:$C$26,MATCH($C271,INVENTARIO!$B$7:$B$26,0)),"⚠ ID no existe"))</f>
        <v/>
      </c>
      <c r="E271" s="127" t="n"/>
      <c r="F271" s="128" t="n"/>
      <c r="G271" s="129" t="n"/>
      <c r="H271" s="112">
        <f>IF($C271="","",$F271*$G271)</f>
        <v/>
      </c>
      <c r="I271" s="100" t="n"/>
      <c r="J271" s="115">
        <f>IF($C271="","",IF($I271="Tarjeta Citi",CFG_CITI,0))</f>
        <v/>
      </c>
      <c r="K271" s="112">
        <f>IF($C271="","",$H271*$J271)</f>
        <v/>
      </c>
      <c r="L271" s="114">
        <f>IF($C271="","",$H271+$K271)</f>
        <v/>
      </c>
      <c r="M271" s="113">
        <f>IF(OR($C271="",N($F271)=0),"",$L271/$F271)</f>
        <v/>
      </c>
      <c r="N271" s="127" t="n"/>
    </row>
    <row r="272">
      <c r="B272" s="101" t="n"/>
      <c r="C272" s="100" t="n"/>
      <c r="D272" s="96">
        <f>IF($C272="","",IFERROR(INDEX(INVENTARIO!$C$7:$C$26,MATCH($C272,INVENTARIO!$B$7:$B$26,0)),"⚠ ID no existe"))</f>
        <v/>
      </c>
      <c r="E272" s="127" t="n"/>
      <c r="F272" s="128" t="n"/>
      <c r="G272" s="129" t="n"/>
      <c r="H272" s="112">
        <f>IF($C272="","",$F272*$G272)</f>
        <v/>
      </c>
      <c r="I272" s="100" t="n"/>
      <c r="J272" s="115">
        <f>IF($C272="","",IF($I272="Tarjeta Citi",CFG_CITI,0))</f>
        <v/>
      </c>
      <c r="K272" s="112">
        <f>IF($C272="","",$H272*$J272)</f>
        <v/>
      </c>
      <c r="L272" s="114">
        <f>IF($C272="","",$H272+$K272)</f>
        <v/>
      </c>
      <c r="M272" s="113">
        <f>IF(OR($C272="",N($F272)=0),"",$L272/$F272)</f>
        <v/>
      </c>
      <c r="N272" s="127" t="n"/>
    </row>
    <row r="273">
      <c r="B273" s="101" t="n"/>
      <c r="C273" s="100" t="n"/>
      <c r="D273" s="96">
        <f>IF($C273="","",IFERROR(INDEX(INVENTARIO!$C$7:$C$26,MATCH($C273,INVENTARIO!$B$7:$B$26,0)),"⚠ ID no existe"))</f>
        <v/>
      </c>
      <c r="E273" s="127" t="n"/>
      <c r="F273" s="128" t="n"/>
      <c r="G273" s="129" t="n"/>
      <c r="H273" s="112">
        <f>IF($C273="","",$F273*$G273)</f>
        <v/>
      </c>
      <c r="I273" s="100" t="n"/>
      <c r="J273" s="115">
        <f>IF($C273="","",IF($I273="Tarjeta Citi",CFG_CITI,0))</f>
        <v/>
      </c>
      <c r="K273" s="112">
        <f>IF($C273="","",$H273*$J273)</f>
        <v/>
      </c>
      <c r="L273" s="114">
        <f>IF($C273="","",$H273+$K273)</f>
        <v/>
      </c>
      <c r="M273" s="113">
        <f>IF(OR($C273="",N($F273)=0),"",$L273/$F273)</f>
        <v/>
      </c>
      <c r="N273" s="127" t="n"/>
    </row>
    <row r="274">
      <c r="B274" s="101" t="n"/>
      <c r="C274" s="100" t="n"/>
      <c r="D274" s="96">
        <f>IF($C274="","",IFERROR(INDEX(INVENTARIO!$C$7:$C$26,MATCH($C274,INVENTARIO!$B$7:$B$26,0)),"⚠ ID no existe"))</f>
        <v/>
      </c>
      <c r="E274" s="127" t="n"/>
      <c r="F274" s="128" t="n"/>
      <c r="G274" s="129" t="n"/>
      <c r="H274" s="112">
        <f>IF($C274="","",$F274*$G274)</f>
        <v/>
      </c>
      <c r="I274" s="100" t="n"/>
      <c r="J274" s="115">
        <f>IF($C274="","",IF($I274="Tarjeta Citi",CFG_CITI,0))</f>
        <v/>
      </c>
      <c r="K274" s="112">
        <f>IF($C274="","",$H274*$J274)</f>
        <v/>
      </c>
      <c r="L274" s="114">
        <f>IF($C274="","",$H274+$K274)</f>
        <v/>
      </c>
      <c r="M274" s="113">
        <f>IF(OR($C274="",N($F274)=0),"",$L274/$F274)</f>
        <v/>
      </c>
      <c r="N274" s="127" t="n"/>
    </row>
    <row r="275">
      <c r="B275" s="101" t="n"/>
      <c r="C275" s="100" t="n"/>
      <c r="D275" s="96">
        <f>IF($C275="","",IFERROR(INDEX(INVENTARIO!$C$7:$C$26,MATCH($C275,INVENTARIO!$B$7:$B$26,0)),"⚠ ID no existe"))</f>
        <v/>
      </c>
      <c r="E275" s="127" t="n"/>
      <c r="F275" s="128" t="n"/>
      <c r="G275" s="129" t="n"/>
      <c r="H275" s="112">
        <f>IF($C275="","",$F275*$G275)</f>
        <v/>
      </c>
      <c r="I275" s="100" t="n"/>
      <c r="J275" s="115">
        <f>IF($C275="","",IF($I275="Tarjeta Citi",CFG_CITI,0))</f>
        <v/>
      </c>
      <c r="K275" s="112">
        <f>IF($C275="","",$H275*$J275)</f>
        <v/>
      </c>
      <c r="L275" s="114">
        <f>IF($C275="","",$H275+$K275)</f>
        <v/>
      </c>
      <c r="M275" s="113">
        <f>IF(OR($C275="",N($F275)=0),"",$L275/$F275)</f>
        <v/>
      </c>
      <c r="N275" s="127" t="n"/>
    </row>
    <row r="276">
      <c r="B276" s="101" t="n"/>
      <c r="C276" s="100" t="n"/>
      <c r="D276" s="96">
        <f>IF($C276="","",IFERROR(INDEX(INVENTARIO!$C$7:$C$26,MATCH($C276,INVENTARIO!$B$7:$B$26,0)),"⚠ ID no existe"))</f>
        <v/>
      </c>
      <c r="E276" s="127" t="n"/>
      <c r="F276" s="128" t="n"/>
      <c r="G276" s="129" t="n"/>
      <c r="H276" s="112">
        <f>IF($C276="","",$F276*$G276)</f>
        <v/>
      </c>
      <c r="I276" s="100" t="n"/>
      <c r="J276" s="115">
        <f>IF($C276="","",IF($I276="Tarjeta Citi",CFG_CITI,0))</f>
        <v/>
      </c>
      <c r="K276" s="112">
        <f>IF($C276="","",$H276*$J276)</f>
        <v/>
      </c>
      <c r="L276" s="114">
        <f>IF($C276="","",$H276+$K276)</f>
        <v/>
      </c>
      <c r="M276" s="113">
        <f>IF(OR($C276="",N($F276)=0),"",$L276/$F276)</f>
        <v/>
      </c>
      <c r="N276" s="127" t="n"/>
    </row>
    <row r="277">
      <c r="B277" s="101" t="n"/>
      <c r="C277" s="100" t="n"/>
      <c r="D277" s="96">
        <f>IF($C277="","",IFERROR(INDEX(INVENTARIO!$C$7:$C$26,MATCH($C277,INVENTARIO!$B$7:$B$26,0)),"⚠ ID no existe"))</f>
        <v/>
      </c>
      <c r="E277" s="127" t="n"/>
      <c r="F277" s="128" t="n"/>
      <c r="G277" s="129" t="n"/>
      <c r="H277" s="112">
        <f>IF($C277="","",$F277*$G277)</f>
        <v/>
      </c>
      <c r="I277" s="100" t="n"/>
      <c r="J277" s="115">
        <f>IF($C277="","",IF($I277="Tarjeta Citi",CFG_CITI,0))</f>
        <v/>
      </c>
      <c r="K277" s="112">
        <f>IF($C277="","",$H277*$J277)</f>
        <v/>
      </c>
      <c r="L277" s="114">
        <f>IF($C277="","",$H277+$K277)</f>
        <v/>
      </c>
      <c r="M277" s="113">
        <f>IF(OR($C277="",N($F277)=0),"",$L277/$F277)</f>
        <v/>
      </c>
      <c r="N277" s="127" t="n"/>
    </row>
    <row r="278">
      <c r="B278" s="101" t="n"/>
      <c r="C278" s="100" t="n"/>
      <c r="D278" s="96">
        <f>IF($C278="","",IFERROR(INDEX(INVENTARIO!$C$7:$C$26,MATCH($C278,INVENTARIO!$B$7:$B$26,0)),"⚠ ID no existe"))</f>
        <v/>
      </c>
      <c r="E278" s="127" t="n"/>
      <c r="F278" s="128" t="n"/>
      <c r="G278" s="129" t="n"/>
      <c r="H278" s="112">
        <f>IF($C278="","",$F278*$G278)</f>
        <v/>
      </c>
      <c r="I278" s="100" t="n"/>
      <c r="J278" s="115">
        <f>IF($C278="","",IF($I278="Tarjeta Citi",CFG_CITI,0))</f>
        <v/>
      </c>
      <c r="K278" s="112">
        <f>IF($C278="","",$H278*$J278)</f>
        <v/>
      </c>
      <c r="L278" s="114">
        <f>IF($C278="","",$H278+$K278)</f>
        <v/>
      </c>
      <c r="M278" s="113">
        <f>IF(OR($C278="",N($F278)=0),"",$L278/$F278)</f>
        <v/>
      </c>
      <c r="N278" s="127" t="n"/>
    </row>
    <row r="279">
      <c r="B279" s="101" t="n"/>
      <c r="C279" s="100" t="n"/>
      <c r="D279" s="96">
        <f>IF($C279="","",IFERROR(INDEX(INVENTARIO!$C$7:$C$26,MATCH($C279,INVENTARIO!$B$7:$B$26,0)),"⚠ ID no existe"))</f>
        <v/>
      </c>
      <c r="E279" s="127" t="n"/>
      <c r="F279" s="128" t="n"/>
      <c r="G279" s="129" t="n"/>
      <c r="H279" s="112">
        <f>IF($C279="","",$F279*$G279)</f>
        <v/>
      </c>
      <c r="I279" s="100" t="n"/>
      <c r="J279" s="115">
        <f>IF($C279="","",IF($I279="Tarjeta Citi",CFG_CITI,0))</f>
        <v/>
      </c>
      <c r="K279" s="112">
        <f>IF($C279="","",$H279*$J279)</f>
        <v/>
      </c>
      <c r="L279" s="114">
        <f>IF($C279="","",$H279+$K279)</f>
        <v/>
      </c>
      <c r="M279" s="113">
        <f>IF(OR($C279="",N($F279)=0),"",$L279/$F279)</f>
        <v/>
      </c>
      <c r="N279" s="127" t="n"/>
    </row>
    <row r="280">
      <c r="B280" s="101" t="n"/>
      <c r="C280" s="100" t="n"/>
      <c r="D280" s="96">
        <f>IF($C280="","",IFERROR(INDEX(INVENTARIO!$C$7:$C$26,MATCH($C280,INVENTARIO!$B$7:$B$26,0)),"⚠ ID no existe"))</f>
        <v/>
      </c>
      <c r="E280" s="127" t="n"/>
      <c r="F280" s="128" t="n"/>
      <c r="G280" s="129" t="n"/>
      <c r="H280" s="112">
        <f>IF($C280="","",$F280*$G280)</f>
        <v/>
      </c>
      <c r="I280" s="100" t="n"/>
      <c r="J280" s="115">
        <f>IF($C280="","",IF($I280="Tarjeta Citi",CFG_CITI,0))</f>
        <v/>
      </c>
      <c r="K280" s="112">
        <f>IF($C280="","",$H280*$J280)</f>
        <v/>
      </c>
      <c r="L280" s="114">
        <f>IF($C280="","",$H280+$K280)</f>
        <v/>
      </c>
      <c r="M280" s="113">
        <f>IF(OR($C280="",N($F280)=0),"",$L280/$F280)</f>
        <v/>
      </c>
      <c r="N280" s="127" t="n"/>
    </row>
    <row r="281">
      <c r="B281" s="101" t="n"/>
      <c r="C281" s="100" t="n"/>
      <c r="D281" s="96">
        <f>IF($C281="","",IFERROR(INDEX(INVENTARIO!$C$7:$C$26,MATCH($C281,INVENTARIO!$B$7:$B$26,0)),"⚠ ID no existe"))</f>
        <v/>
      </c>
      <c r="E281" s="127" t="n"/>
      <c r="F281" s="128" t="n"/>
      <c r="G281" s="129" t="n"/>
      <c r="H281" s="112">
        <f>IF($C281="","",$F281*$G281)</f>
        <v/>
      </c>
      <c r="I281" s="100" t="n"/>
      <c r="J281" s="115">
        <f>IF($C281="","",IF($I281="Tarjeta Citi",CFG_CITI,0))</f>
        <v/>
      </c>
      <c r="K281" s="112">
        <f>IF($C281="","",$H281*$J281)</f>
        <v/>
      </c>
      <c r="L281" s="114">
        <f>IF($C281="","",$H281+$K281)</f>
        <v/>
      </c>
      <c r="M281" s="113">
        <f>IF(OR($C281="",N($F281)=0),"",$L281/$F281)</f>
        <v/>
      </c>
      <c r="N281" s="127" t="n"/>
    </row>
    <row r="282">
      <c r="B282" s="101" t="n"/>
      <c r="C282" s="100" t="n"/>
      <c r="D282" s="96">
        <f>IF($C282="","",IFERROR(INDEX(INVENTARIO!$C$7:$C$26,MATCH($C282,INVENTARIO!$B$7:$B$26,0)),"⚠ ID no existe"))</f>
        <v/>
      </c>
      <c r="E282" s="127" t="n"/>
      <c r="F282" s="128" t="n"/>
      <c r="G282" s="129" t="n"/>
      <c r="H282" s="112">
        <f>IF($C282="","",$F282*$G282)</f>
        <v/>
      </c>
      <c r="I282" s="100" t="n"/>
      <c r="J282" s="115">
        <f>IF($C282="","",IF($I282="Tarjeta Citi",CFG_CITI,0))</f>
        <v/>
      </c>
      <c r="K282" s="112">
        <f>IF($C282="","",$H282*$J282)</f>
        <v/>
      </c>
      <c r="L282" s="114">
        <f>IF($C282="","",$H282+$K282)</f>
        <v/>
      </c>
      <c r="M282" s="113">
        <f>IF(OR($C282="",N($F282)=0),"",$L282/$F282)</f>
        <v/>
      </c>
      <c r="N282" s="127" t="n"/>
    </row>
    <row r="283">
      <c r="B283" s="101" t="n"/>
      <c r="C283" s="100" t="n"/>
      <c r="D283" s="96">
        <f>IF($C283="","",IFERROR(INDEX(INVENTARIO!$C$7:$C$26,MATCH($C283,INVENTARIO!$B$7:$B$26,0)),"⚠ ID no existe"))</f>
        <v/>
      </c>
      <c r="E283" s="127" t="n"/>
      <c r="F283" s="128" t="n"/>
      <c r="G283" s="129" t="n"/>
      <c r="H283" s="112">
        <f>IF($C283="","",$F283*$G283)</f>
        <v/>
      </c>
      <c r="I283" s="100" t="n"/>
      <c r="J283" s="115">
        <f>IF($C283="","",IF($I283="Tarjeta Citi",CFG_CITI,0))</f>
        <v/>
      </c>
      <c r="K283" s="112">
        <f>IF($C283="","",$H283*$J283)</f>
        <v/>
      </c>
      <c r="L283" s="114">
        <f>IF($C283="","",$H283+$K283)</f>
        <v/>
      </c>
      <c r="M283" s="113">
        <f>IF(OR($C283="",N($F283)=0),"",$L283/$F283)</f>
        <v/>
      </c>
      <c r="N283" s="127" t="n"/>
    </row>
    <row r="284">
      <c r="B284" s="101" t="n"/>
      <c r="C284" s="100" t="n"/>
      <c r="D284" s="96">
        <f>IF($C284="","",IFERROR(INDEX(INVENTARIO!$C$7:$C$26,MATCH($C284,INVENTARIO!$B$7:$B$26,0)),"⚠ ID no existe"))</f>
        <v/>
      </c>
      <c r="E284" s="127" t="n"/>
      <c r="F284" s="128" t="n"/>
      <c r="G284" s="129" t="n"/>
      <c r="H284" s="112">
        <f>IF($C284="","",$F284*$G284)</f>
        <v/>
      </c>
      <c r="I284" s="100" t="n"/>
      <c r="J284" s="115">
        <f>IF($C284="","",IF($I284="Tarjeta Citi",CFG_CITI,0))</f>
        <v/>
      </c>
      <c r="K284" s="112">
        <f>IF($C284="","",$H284*$J284)</f>
        <v/>
      </c>
      <c r="L284" s="114">
        <f>IF($C284="","",$H284+$K284)</f>
        <v/>
      </c>
      <c r="M284" s="113">
        <f>IF(OR($C284="",N($F284)=0),"",$L284/$F284)</f>
        <v/>
      </c>
      <c r="N284" s="127" t="n"/>
    </row>
    <row r="285">
      <c r="B285" s="101" t="n"/>
      <c r="C285" s="100" t="n"/>
      <c r="D285" s="96">
        <f>IF($C285="","",IFERROR(INDEX(INVENTARIO!$C$7:$C$26,MATCH($C285,INVENTARIO!$B$7:$B$26,0)),"⚠ ID no existe"))</f>
        <v/>
      </c>
      <c r="E285" s="127" t="n"/>
      <c r="F285" s="128" t="n"/>
      <c r="G285" s="129" t="n"/>
      <c r="H285" s="112">
        <f>IF($C285="","",$F285*$G285)</f>
        <v/>
      </c>
      <c r="I285" s="100" t="n"/>
      <c r="J285" s="115">
        <f>IF($C285="","",IF($I285="Tarjeta Citi",CFG_CITI,0))</f>
        <v/>
      </c>
      <c r="K285" s="112">
        <f>IF($C285="","",$H285*$J285)</f>
        <v/>
      </c>
      <c r="L285" s="114">
        <f>IF($C285="","",$H285+$K285)</f>
        <v/>
      </c>
      <c r="M285" s="113">
        <f>IF(OR($C285="",N($F285)=0),"",$L285/$F285)</f>
        <v/>
      </c>
      <c r="N285" s="127" t="n"/>
    </row>
    <row r="286">
      <c r="B286" s="101" t="n"/>
      <c r="C286" s="100" t="n"/>
      <c r="D286" s="96">
        <f>IF($C286="","",IFERROR(INDEX(INVENTARIO!$C$7:$C$26,MATCH($C286,INVENTARIO!$B$7:$B$26,0)),"⚠ ID no existe"))</f>
        <v/>
      </c>
      <c r="E286" s="127" t="n"/>
      <c r="F286" s="128" t="n"/>
      <c r="G286" s="129" t="n"/>
      <c r="H286" s="112">
        <f>IF($C286="","",$F286*$G286)</f>
        <v/>
      </c>
      <c r="I286" s="100" t="n"/>
      <c r="J286" s="115">
        <f>IF($C286="","",IF($I286="Tarjeta Citi",CFG_CITI,0))</f>
        <v/>
      </c>
      <c r="K286" s="112">
        <f>IF($C286="","",$H286*$J286)</f>
        <v/>
      </c>
      <c r="L286" s="114">
        <f>IF($C286="","",$H286+$K286)</f>
        <v/>
      </c>
      <c r="M286" s="113">
        <f>IF(OR($C286="",N($F286)=0),"",$L286/$F286)</f>
        <v/>
      </c>
      <c r="N286" s="127" t="n"/>
    </row>
    <row r="287">
      <c r="B287" s="101" t="n"/>
      <c r="C287" s="100" t="n"/>
      <c r="D287" s="96">
        <f>IF($C287="","",IFERROR(INDEX(INVENTARIO!$C$7:$C$26,MATCH($C287,INVENTARIO!$B$7:$B$26,0)),"⚠ ID no existe"))</f>
        <v/>
      </c>
      <c r="E287" s="127" t="n"/>
      <c r="F287" s="128" t="n"/>
      <c r="G287" s="129" t="n"/>
      <c r="H287" s="112">
        <f>IF($C287="","",$F287*$G287)</f>
        <v/>
      </c>
      <c r="I287" s="100" t="n"/>
      <c r="J287" s="115">
        <f>IF($C287="","",IF($I287="Tarjeta Citi",CFG_CITI,0))</f>
        <v/>
      </c>
      <c r="K287" s="112">
        <f>IF($C287="","",$H287*$J287)</f>
        <v/>
      </c>
      <c r="L287" s="114">
        <f>IF($C287="","",$H287+$K287)</f>
        <v/>
      </c>
      <c r="M287" s="113">
        <f>IF(OR($C287="",N($F287)=0),"",$L287/$F287)</f>
        <v/>
      </c>
      <c r="N287" s="127" t="n"/>
    </row>
    <row r="288">
      <c r="B288" s="101" t="n"/>
      <c r="C288" s="100" t="n"/>
      <c r="D288" s="96">
        <f>IF($C288="","",IFERROR(INDEX(INVENTARIO!$C$7:$C$26,MATCH($C288,INVENTARIO!$B$7:$B$26,0)),"⚠ ID no existe"))</f>
        <v/>
      </c>
      <c r="E288" s="127" t="n"/>
      <c r="F288" s="128" t="n"/>
      <c r="G288" s="129" t="n"/>
      <c r="H288" s="112">
        <f>IF($C288="","",$F288*$G288)</f>
        <v/>
      </c>
      <c r="I288" s="100" t="n"/>
      <c r="J288" s="115">
        <f>IF($C288="","",IF($I288="Tarjeta Citi",CFG_CITI,0))</f>
        <v/>
      </c>
      <c r="K288" s="112">
        <f>IF($C288="","",$H288*$J288)</f>
        <v/>
      </c>
      <c r="L288" s="114">
        <f>IF($C288="","",$H288+$K288)</f>
        <v/>
      </c>
      <c r="M288" s="113">
        <f>IF(OR($C288="",N($F288)=0),"",$L288/$F288)</f>
        <v/>
      </c>
      <c r="N288" s="127" t="n"/>
    </row>
    <row r="289">
      <c r="B289" s="101" t="n"/>
      <c r="C289" s="100" t="n"/>
      <c r="D289" s="96">
        <f>IF($C289="","",IFERROR(INDEX(INVENTARIO!$C$7:$C$26,MATCH($C289,INVENTARIO!$B$7:$B$26,0)),"⚠ ID no existe"))</f>
        <v/>
      </c>
      <c r="E289" s="127" t="n"/>
      <c r="F289" s="128" t="n"/>
      <c r="G289" s="129" t="n"/>
      <c r="H289" s="112">
        <f>IF($C289="","",$F289*$G289)</f>
        <v/>
      </c>
      <c r="I289" s="100" t="n"/>
      <c r="J289" s="115">
        <f>IF($C289="","",IF($I289="Tarjeta Citi",CFG_CITI,0))</f>
        <v/>
      </c>
      <c r="K289" s="112">
        <f>IF($C289="","",$H289*$J289)</f>
        <v/>
      </c>
      <c r="L289" s="114">
        <f>IF($C289="","",$H289+$K289)</f>
        <v/>
      </c>
      <c r="M289" s="113">
        <f>IF(OR($C289="",N($F289)=0),"",$L289/$F289)</f>
        <v/>
      </c>
      <c r="N289" s="127" t="n"/>
    </row>
    <row r="290">
      <c r="B290" s="101" t="n"/>
      <c r="C290" s="100" t="n"/>
      <c r="D290" s="96">
        <f>IF($C290="","",IFERROR(INDEX(INVENTARIO!$C$7:$C$26,MATCH($C290,INVENTARIO!$B$7:$B$26,0)),"⚠ ID no existe"))</f>
        <v/>
      </c>
      <c r="E290" s="127" t="n"/>
      <c r="F290" s="128" t="n"/>
      <c r="G290" s="129" t="n"/>
      <c r="H290" s="112">
        <f>IF($C290="","",$F290*$G290)</f>
        <v/>
      </c>
      <c r="I290" s="100" t="n"/>
      <c r="J290" s="115">
        <f>IF($C290="","",IF($I290="Tarjeta Citi",CFG_CITI,0))</f>
        <v/>
      </c>
      <c r="K290" s="112">
        <f>IF($C290="","",$H290*$J290)</f>
        <v/>
      </c>
      <c r="L290" s="114">
        <f>IF($C290="","",$H290+$K290)</f>
        <v/>
      </c>
      <c r="M290" s="113">
        <f>IF(OR($C290="",N($F290)=0),"",$L290/$F290)</f>
        <v/>
      </c>
      <c r="N290" s="127" t="n"/>
    </row>
    <row r="291">
      <c r="B291" s="101" t="n"/>
      <c r="C291" s="100" t="n"/>
      <c r="D291" s="96">
        <f>IF($C291="","",IFERROR(INDEX(INVENTARIO!$C$7:$C$26,MATCH($C291,INVENTARIO!$B$7:$B$26,0)),"⚠ ID no existe"))</f>
        <v/>
      </c>
      <c r="E291" s="127" t="n"/>
      <c r="F291" s="128" t="n"/>
      <c r="G291" s="129" t="n"/>
      <c r="H291" s="112">
        <f>IF($C291="","",$F291*$G291)</f>
        <v/>
      </c>
      <c r="I291" s="100" t="n"/>
      <c r="J291" s="115">
        <f>IF($C291="","",IF($I291="Tarjeta Citi",CFG_CITI,0))</f>
        <v/>
      </c>
      <c r="K291" s="112">
        <f>IF($C291="","",$H291*$J291)</f>
        <v/>
      </c>
      <c r="L291" s="114">
        <f>IF($C291="","",$H291+$K291)</f>
        <v/>
      </c>
      <c r="M291" s="113">
        <f>IF(OR($C291="",N($F291)=0),"",$L291/$F291)</f>
        <v/>
      </c>
      <c r="N291" s="127" t="n"/>
    </row>
    <row r="292">
      <c r="B292" s="101" t="n"/>
      <c r="C292" s="100" t="n"/>
      <c r="D292" s="96">
        <f>IF($C292="","",IFERROR(INDEX(INVENTARIO!$C$7:$C$26,MATCH($C292,INVENTARIO!$B$7:$B$26,0)),"⚠ ID no existe"))</f>
        <v/>
      </c>
      <c r="E292" s="127" t="n"/>
      <c r="F292" s="128" t="n"/>
      <c r="G292" s="129" t="n"/>
      <c r="H292" s="112">
        <f>IF($C292="","",$F292*$G292)</f>
        <v/>
      </c>
      <c r="I292" s="100" t="n"/>
      <c r="J292" s="115">
        <f>IF($C292="","",IF($I292="Tarjeta Citi",CFG_CITI,0))</f>
        <v/>
      </c>
      <c r="K292" s="112">
        <f>IF($C292="","",$H292*$J292)</f>
        <v/>
      </c>
      <c r="L292" s="114">
        <f>IF($C292="","",$H292+$K292)</f>
        <v/>
      </c>
      <c r="M292" s="113">
        <f>IF(OR($C292="",N($F292)=0),"",$L292/$F292)</f>
        <v/>
      </c>
      <c r="N292" s="127" t="n"/>
    </row>
    <row r="293">
      <c r="B293" s="101" t="n"/>
      <c r="C293" s="100" t="n"/>
      <c r="D293" s="96">
        <f>IF($C293="","",IFERROR(INDEX(INVENTARIO!$C$7:$C$26,MATCH($C293,INVENTARIO!$B$7:$B$26,0)),"⚠ ID no existe"))</f>
        <v/>
      </c>
      <c r="E293" s="127" t="n"/>
      <c r="F293" s="128" t="n"/>
      <c r="G293" s="129" t="n"/>
      <c r="H293" s="112">
        <f>IF($C293="","",$F293*$G293)</f>
        <v/>
      </c>
      <c r="I293" s="100" t="n"/>
      <c r="J293" s="115">
        <f>IF($C293="","",IF($I293="Tarjeta Citi",CFG_CITI,0))</f>
        <v/>
      </c>
      <c r="K293" s="112">
        <f>IF($C293="","",$H293*$J293)</f>
        <v/>
      </c>
      <c r="L293" s="114">
        <f>IF($C293="","",$H293+$K293)</f>
        <v/>
      </c>
      <c r="M293" s="113">
        <f>IF(OR($C293="",N($F293)=0),"",$L293/$F293)</f>
        <v/>
      </c>
      <c r="N293" s="127" t="n"/>
    </row>
    <row r="294">
      <c r="B294" s="101" t="n"/>
      <c r="C294" s="100" t="n"/>
      <c r="D294" s="96">
        <f>IF($C294="","",IFERROR(INDEX(INVENTARIO!$C$7:$C$26,MATCH($C294,INVENTARIO!$B$7:$B$26,0)),"⚠ ID no existe"))</f>
        <v/>
      </c>
      <c r="E294" s="127" t="n"/>
      <c r="F294" s="128" t="n"/>
      <c r="G294" s="129" t="n"/>
      <c r="H294" s="112">
        <f>IF($C294="","",$F294*$G294)</f>
        <v/>
      </c>
      <c r="I294" s="100" t="n"/>
      <c r="J294" s="115">
        <f>IF($C294="","",IF($I294="Tarjeta Citi",CFG_CITI,0))</f>
        <v/>
      </c>
      <c r="K294" s="112">
        <f>IF($C294="","",$H294*$J294)</f>
        <v/>
      </c>
      <c r="L294" s="114">
        <f>IF($C294="","",$H294+$K294)</f>
        <v/>
      </c>
      <c r="M294" s="113">
        <f>IF(OR($C294="",N($F294)=0),"",$L294/$F294)</f>
        <v/>
      </c>
      <c r="N294" s="127" t="n"/>
    </row>
    <row r="295">
      <c r="B295" s="101" t="n"/>
      <c r="C295" s="100" t="n"/>
      <c r="D295" s="96">
        <f>IF($C295="","",IFERROR(INDEX(INVENTARIO!$C$7:$C$26,MATCH($C295,INVENTARIO!$B$7:$B$26,0)),"⚠ ID no existe"))</f>
        <v/>
      </c>
      <c r="E295" s="127" t="n"/>
      <c r="F295" s="128" t="n"/>
      <c r="G295" s="129" t="n"/>
      <c r="H295" s="112">
        <f>IF($C295="","",$F295*$G295)</f>
        <v/>
      </c>
      <c r="I295" s="100" t="n"/>
      <c r="J295" s="115">
        <f>IF($C295="","",IF($I295="Tarjeta Citi",CFG_CITI,0))</f>
        <v/>
      </c>
      <c r="K295" s="112">
        <f>IF($C295="","",$H295*$J295)</f>
        <v/>
      </c>
      <c r="L295" s="114">
        <f>IF($C295="","",$H295+$K295)</f>
        <v/>
      </c>
      <c r="M295" s="113">
        <f>IF(OR($C295="",N($F295)=0),"",$L295/$F295)</f>
        <v/>
      </c>
      <c r="N295" s="127" t="n"/>
    </row>
    <row r="296">
      <c r="B296" s="101" t="n"/>
      <c r="C296" s="100" t="n"/>
      <c r="D296" s="96">
        <f>IF($C296="","",IFERROR(INDEX(INVENTARIO!$C$7:$C$26,MATCH($C296,INVENTARIO!$B$7:$B$26,0)),"⚠ ID no existe"))</f>
        <v/>
      </c>
      <c r="E296" s="127" t="n"/>
      <c r="F296" s="128" t="n"/>
      <c r="G296" s="129" t="n"/>
      <c r="H296" s="112">
        <f>IF($C296="","",$F296*$G296)</f>
        <v/>
      </c>
      <c r="I296" s="100" t="n"/>
      <c r="J296" s="115">
        <f>IF($C296="","",IF($I296="Tarjeta Citi",CFG_CITI,0))</f>
        <v/>
      </c>
      <c r="K296" s="112">
        <f>IF($C296="","",$H296*$J296)</f>
        <v/>
      </c>
      <c r="L296" s="114">
        <f>IF($C296="","",$H296+$K296)</f>
        <v/>
      </c>
      <c r="M296" s="113">
        <f>IF(OR($C296="",N($F296)=0),"",$L296/$F296)</f>
        <v/>
      </c>
      <c r="N296" s="127" t="n"/>
    </row>
    <row r="297">
      <c r="B297" s="101" t="n"/>
      <c r="C297" s="100" t="n"/>
      <c r="D297" s="96">
        <f>IF($C297="","",IFERROR(INDEX(INVENTARIO!$C$7:$C$26,MATCH($C297,INVENTARIO!$B$7:$B$26,0)),"⚠ ID no existe"))</f>
        <v/>
      </c>
      <c r="E297" s="127" t="n"/>
      <c r="F297" s="128" t="n"/>
      <c r="G297" s="129" t="n"/>
      <c r="H297" s="112">
        <f>IF($C297="","",$F297*$G297)</f>
        <v/>
      </c>
      <c r="I297" s="100" t="n"/>
      <c r="J297" s="115">
        <f>IF($C297="","",IF($I297="Tarjeta Citi",CFG_CITI,0))</f>
        <v/>
      </c>
      <c r="K297" s="112">
        <f>IF($C297="","",$H297*$J297)</f>
        <v/>
      </c>
      <c r="L297" s="114">
        <f>IF($C297="","",$H297+$K297)</f>
        <v/>
      </c>
      <c r="M297" s="113">
        <f>IF(OR($C297="",N($F297)=0),"",$L297/$F297)</f>
        <v/>
      </c>
      <c r="N297" s="127" t="n"/>
    </row>
    <row r="298">
      <c r="B298" s="101" t="n"/>
      <c r="C298" s="100" t="n"/>
      <c r="D298" s="96">
        <f>IF($C298="","",IFERROR(INDEX(INVENTARIO!$C$7:$C$26,MATCH($C298,INVENTARIO!$B$7:$B$26,0)),"⚠ ID no existe"))</f>
        <v/>
      </c>
      <c r="E298" s="127" t="n"/>
      <c r="F298" s="128" t="n"/>
      <c r="G298" s="129" t="n"/>
      <c r="H298" s="112">
        <f>IF($C298="","",$F298*$G298)</f>
        <v/>
      </c>
      <c r="I298" s="100" t="n"/>
      <c r="J298" s="115">
        <f>IF($C298="","",IF($I298="Tarjeta Citi",CFG_CITI,0))</f>
        <v/>
      </c>
      <c r="K298" s="112">
        <f>IF($C298="","",$H298*$J298)</f>
        <v/>
      </c>
      <c r="L298" s="114">
        <f>IF($C298="","",$H298+$K298)</f>
        <v/>
      </c>
      <c r="M298" s="113">
        <f>IF(OR($C298="",N($F298)=0),"",$L298/$F298)</f>
        <v/>
      </c>
      <c r="N298" s="127" t="n"/>
    </row>
    <row r="299">
      <c r="B299" s="101" t="n"/>
      <c r="C299" s="100" t="n"/>
      <c r="D299" s="96">
        <f>IF($C299="","",IFERROR(INDEX(INVENTARIO!$C$7:$C$26,MATCH($C299,INVENTARIO!$B$7:$B$26,0)),"⚠ ID no existe"))</f>
        <v/>
      </c>
      <c r="E299" s="127" t="n"/>
      <c r="F299" s="128" t="n"/>
      <c r="G299" s="129" t="n"/>
      <c r="H299" s="112">
        <f>IF($C299="","",$F299*$G299)</f>
        <v/>
      </c>
      <c r="I299" s="100" t="n"/>
      <c r="J299" s="115">
        <f>IF($C299="","",IF($I299="Tarjeta Citi",CFG_CITI,0))</f>
        <v/>
      </c>
      <c r="K299" s="112">
        <f>IF($C299="","",$H299*$J299)</f>
        <v/>
      </c>
      <c r="L299" s="114">
        <f>IF($C299="","",$H299+$K299)</f>
        <v/>
      </c>
      <c r="M299" s="113">
        <f>IF(OR($C299="",N($F299)=0),"",$L299/$F299)</f>
        <v/>
      </c>
      <c r="N299" s="127" t="n"/>
    </row>
    <row r="300">
      <c r="B300" s="101" t="n"/>
      <c r="C300" s="100" t="n"/>
      <c r="D300" s="96">
        <f>IF($C300="","",IFERROR(INDEX(INVENTARIO!$C$7:$C$26,MATCH($C300,INVENTARIO!$B$7:$B$26,0)),"⚠ ID no existe"))</f>
        <v/>
      </c>
      <c r="E300" s="127" t="n"/>
      <c r="F300" s="128" t="n"/>
      <c r="G300" s="129" t="n"/>
      <c r="H300" s="112">
        <f>IF($C300="","",$F300*$G300)</f>
        <v/>
      </c>
      <c r="I300" s="100" t="n"/>
      <c r="J300" s="115">
        <f>IF($C300="","",IF($I300="Tarjeta Citi",CFG_CITI,0))</f>
        <v/>
      </c>
      <c r="K300" s="112">
        <f>IF($C300="","",$H300*$J300)</f>
        <v/>
      </c>
      <c r="L300" s="114">
        <f>IF($C300="","",$H300+$K300)</f>
        <v/>
      </c>
      <c r="M300" s="113">
        <f>IF(OR($C300="",N($F300)=0),"",$L300/$F300)</f>
        <v/>
      </c>
      <c r="N300" s="127" t="n"/>
    </row>
    <row r="301">
      <c r="B301" s="101" t="n"/>
      <c r="C301" s="100" t="n"/>
      <c r="D301" s="96">
        <f>IF($C301="","",IFERROR(INDEX(INVENTARIO!$C$7:$C$26,MATCH($C301,INVENTARIO!$B$7:$B$26,0)),"⚠ ID no existe"))</f>
        <v/>
      </c>
      <c r="E301" s="127" t="n"/>
      <c r="F301" s="128" t="n"/>
      <c r="G301" s="129" t="n"/>
      <c r="H301" s="112">
        <f>IF($C301="","",$F301*$G301)</f>
        <v/>
      </c>
      <c r="I301" s="100" t="n"/>
      <c r="J301" s="115">
        <f>IF($C301="","",IF($I301="Tarjeta Citi",CFG_CITI,0))</f>
        <v/>
      </c>
      <c r="K301" s="112">
        <f>IF($C301="","",$H301*$J301)</f>
        <v/>
      </c>
      <c r="L301" s="114">
        <f>IF($C301="","",$H301+$K301)</f>
        <v/>
      </c>
      <c r="M301" s="113">
        <f>IF(OR($C301="",N($F301)=0),"",$L301/$F301)</f>
        <v/>
      </c>
      <c r="N301" s="127" t="n"/>
    </row>
    <row r="302">
      <c r="B302" s="101" t="n"/>
      <c r="C302" s="100" t="n"/>
      <c r="D302" s="96">
        <f>IF($C302="","",IFERROR(INDEX(INVENTARIO!$C$7:$C$26,MATCH($C302,INVENTARIO!$B$7:$B$26,0)),"⚠ ID no existe"))</f>
        <v/>
      </c>
      <c r="E302" s="127" t="n"/>
      <c r="F302" s="128" t="n"/>
      <c r="G302" s="129" t="n"/>
      <c r="H302" s="112">
        <f>IF($C302="","",$F302*$G302)</f>
        <v/>
      </c>
      <c r="I302" s="100" t="n"/>
      <c r="J302" s="115">
        <f>IF($C302="","",IF($I302="Tarjeta Citi",CFG_CITI,0))</f>
        <v/>
      </c>
      <c r="K302" s="112">
        <f>IF($C302="","",$H302*$J302)</f>
        <v/>
      </c>
      <c r="L302" s="114">
        <f>IF($C302="","",$H302+$K302)</f>
        <v/>
      </c>
      <c r="M302" s="113">
        <f>IF(OR($C302="",N($F302)=0),"",$L302/$F302)</f>
        <v/>
      </c>
      <c r="N302" s="127" t="n"/>
    </row>
    <row r="303">
      <c r="B303" s="101" t="n"/>
      <c r="C303" s="100" t="n"/>
      <c r="D303" s="96">
        <f>IF($C303="","",IFERROR(INDEX(INVENTARIO!$C$7:$C$26,MATCH($C303,INVENTARIO!$B$7:$B$26,0)),"⚠ ID no existe"))</f>
        <v/>
      </c>
      <c r="E303" s="127" t="n"/>
      <c r="F303" s="128" t="n"/>
      <c r="G303" s="129" t="n"/>
      <c r="H303" s="112">
        <f>IF($C303="","",$F303*$G303)</f>
        <v/>
      </c>
      <c r="I303" s="100" t="n"/>
      <c r="J303" s="115">
        <f>IF($C303="","",IF($I303="Tarjeta Citi",CFG_CITI,0))</f>
        <v/>
      </c>
      <c r="K303" s="112">
        <f>IF($C303="","",$H303*$J303)</f>
        <v/>
      </c>
      <c r="L303" s="114">
        <f>IF($C303="","",$H303+$K303)</f>
        <v/>
      </c>
      <c r="M303" s="113">
        <f>IF(OR($C303="",N($F303)=0),"",$L303/$F303)</f>
        <v/>
      </c>
      <c r="N303" s="127" t="n"/>
    </row>
    <row r="304">
      <c r="B304" s="101" t="n"/>
      <c r="C304" s="100" t="n"/>
      <c r="D304" s="96">
        <f>IF($C304="","",IFERROR(INDEX(INVENTARIO!$C$7:$C$26,MATCH($C304,INVENTARIO!$B$7:$B$26,0)),"⚠ ID no existe"))</f>
        <v/>
      </c>
      <c r="E304" s="127" t="n"/>
      <c r="F304" s="128" t="n"/>
      <c r="G304" s="129" t="n"/>
      <c r="H304" s="112">
        <f>IF($C304="","",$F304*$G304)</f>
        <v/>
      </c>
      <c r="I304" s="100" t="n"/>
      <c r="J304" s="115">
        <f>IF($C304="","",IF($I304="Tarjeta Citi",CFG_CITI,0))</f>
        <v/>
      </c>
      <c r="K304" s="112">
        <f>IF($C304="","",$H304*$J304)</f>
        <v/>
      </c>
      <c r="L304" s="114">
        <f>IF($C304="","",$H304+$K304)</f>
        <v/>
      </c>
      <c r="M304" s="113">
        <f>IF(OR($C304="",N($F304)=0),"",$L304/$F304)</f>
        <v/>
      </c>
      <c r="N304" s="127" t="n"/>
    </row>
    <row r="305">
      <c r="B305" s="101" t="n"/>
      <c r="C305" s="100" t="n"/>
      <c r="D305" s="96">
        <f>IF($C305="","",IFERROR(INDEX(INVENTARIO!$C$7:$C$26,MATCH($C305,INVENTARIO!$B$7:$B$26,0)),"⚠ ID no existe"))</f>
        <v/>
      </c>
      <c r="E305" s="127" t="n"/>
      <c r="F305" s="128" t="n"/>
      <c r="G305" s="129" t="n"/>
      <c r="H305" s="112">
        <f>IF($C305="","",$F305*$G305)</f>
        <v/>
      </c>
      <c r="I305" s="100" t="n"/>
      <c r="J305" s="115">
        <f>IF($C305="","",IF($I305="Tarjeta Citi",CFG_CITI,0))</f>
        <v/>
      </c>
      <c r="K305" s="112">
        <f>IF($C305="","",$H305*$J305)</f>
        <v/>
      </c>
      <c r="L305" s="114">
        <f>IF($C305="","",$H305+$K305)</f>
        <v/>
      </c>
      <c r="M305" s="113">
        <f>IF(OR($C305="",N($F305)=0),"",$L305/$F305)</f>
        <v/>
      </c>
      <c r="N305" s="127" t="n"/>
    </row>
    <row r="306">
      <c r="B306" s="122" t="inlineStr">
        <is>
          <t>TOTAL</t>
        </is>
      </c>
      <c r="C306" s="122" t="n"/>
      <c r="D306" s="122" t="n"/>
      <c r="E306" s="122" t="n"/>
      <c r="F306" s="122">
        <f>SUM(F6:F305)</f>
        <v/>
      </c>
      <c r="G306" s="122" t="n"/>
      <c r="H306" s="123">
        <f>SUM(H6:H305)</f>
        <v/>
      </c>
      <c r="I306" s="122" t="n"/>
      <c r="J306" s="122" t="n"/>
      <c r="K306" s="123">
        <f>SUM(K6:K305)</f>
        <v/>
      </c>
      <c r="L306" s="123">
        <f>SUM(L6:L305)</f>
        <v/>
      </c>
      <c r="M306" s="122" t="n"/>
      <c r="N306" s="122" t="n"/>
    </row>
  </sheetData>
  <autoFilter ref="B5:N305"/>
  <dataValidations count="2">
    <dataValidation sqref="C6:C305" showDropDown="0" showInputMessage="0" showErrorMessage="0" allowBlank="1" errorTitle="ID inválido" error="Seleccione un ID registrado en INVENTARIO." type="list">
      <formula1>=INVENTARIO!$B$7:$B$26</formula1>
    </dataValidation>
    <dataValidation sqref="I6:I305" showDropDown="0" showInputMessage="0" showErrorMessage="0" allowBlank="1" type="list">
      <formula1>=LST_PAGO_COMPRA</formula1>
    </dataValidation>
  </dataValidations>
  <printOptions horizontalCentered="1"/>
  <pageMargins left="0.4" right="0.4" top="1" bottom="1" header="0.5" footer="0.5"/>
  <pageSetup orientation="landscape" fitToHeight="0" fitToWidth="1"/>
  <headerFooter>
    <oddHeader/>
    <oddFooter>&amp;C&amp;8 COTIMIX · Sistema de control financiero ·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0E9F8A"/>
    <outlinePr summaryBelow="1" summaryRight="1"/>
    <pageSetUpPr fitToPage="1"/>
  </sheetPr>
  <dimension ref="A1:S506"/>
  <sheetViews>
    <sheetView showGridLines="0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2" customWidth="1" min="2" max="2"/>
    <col width="16" customWidth="1" min="3" max="3"/>
    <col width="11" customWidth="1" min="4" max="4"/>
    <col width="22" customWidth="1" min="5" max="5"/>
    <col width="10" customWidth="1" min="6" max="6"/>
    <col width="14" customWidth="1" min="7" max="7"/>
    <col width="12" customWidth="1" min="8" max="8"/>
    <col width="13" customWidth="1" min="9" max="9"/>
    <col width="11" customWidth="1" min="10" max="10"/>
    <col width="12" customWidth="1" min="11" max="11"/>
    <col width="14" customWidth="1" min="12" max="12"/>
    <col width="13" customWidth="1" min="13" max="13"/>
    <col width="12" customWidth="1" min="14" max="14"/>
    <col width="13" customWidth="1" min="15" max="15"/>
    <col width="13" customWidth="1" min="16" max="16"/>
    <col width="10" customWidth="1" min="17" max="17"/>
    <col width="30" customWidth="1" min="18" max="18"/>
  </cols>
  <sheetData>
    <row r="1" ht="34" customHeight="1">
      <c r="A1" s="1" t="n"/>
      <c r="B1" s="2" t="inlineStr">
        <is>
          <t>COTIMIX · REGISTRO DE VENTAS WALMART MARKETPLACE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20" customHeight="1">
      <c r="A2" s="1" t="n"/>
      <c r="B2" s="3" t="inlineStr">
        <is>
          <t>Capture fecha, orden, ID, cantidad y (opcional) precio. Comisiones, costo de ventas y utilidad se calculan solos.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</row>
    <row r="4">
      <c r="B4" s="126" t="inlineStr">
        <is>
          <t>Si deja vacío el precio unitario se usa el PRECIO DE VENTA del catálogo (INVENTARIO).</t>
        </is>
      </c>
    </row>
    <row r="5" ht="32" customHeight="1">
      <c r="B5" s="95" t="inlineStr">
        <is>
          <t>Fecha</t>
        </is>
      </c>
      <c r="C5" s="95" t="inlineStr">
        <is>
          <t># Orden
Walmart</t>
        </is>
      </c>
      <c r="D5" s="95" t="inlineStr">
        <is>
          <t>ID Producto</t>
        </is>
      </c>
      <c r="E5" s="95" t="inlineStr">
        <is>
          <t>Producto</t>
        </is>
      </c>
      <c r="F5" s="95" t="inlineStr">
        <is>
          <t>Cantidad</t>
        </is>
      </c>
      <c r="G5" s="95" t="inlineStr">
        <is>
          <t>Precio unitario
(opcional)</t>
        </is>
      </c>
      <c r="H5" s="95" t="inlineStr">
        <is>
          <t>Precio
aplicado</t>
        </is>
      </c>
      <c r="I5" s="95" t="inlineStr">
        <is>
          <t>VENTA
BRUTA</t>
        </is>
      </c>
      <c r="J5" s="95" t="inlineStr">
        <is>
          <t>Comisión
Walmart %</t>
        </is>
      </c>
      <c r="K5" s="95" t="inlineStr">
        <is>
          <t>Comisión
Walmart $</t>
        </is>
      </c>
      <c r="L5" s="95" t="inlineStr">
        <is>
          <t>Envío / otros
cargos Walmart</t>
        </is>
      </c>
      <c r="M5" s="95" t="inlineStr">
        <is>
          <t>INGRESO
NETO</t>
        </is>
      </c>
      <c r="N5" s="95" t="inlineStr">
        <is>
          <t>Costo real
unitario</t>
        </is>
      </c>
      <c r="O5" s="95" t="inlineStr">
        <is>
          <t>COSTO DE
VENTAS</t>
        </is>
      </c>
      <c r="P5" s="95" t="inlineStr">
        <is>
          <t>UTILIDAD
BRUTA</t>
        </is>
      </c>
      <c r="Q5" s="95" t="inlineStr">
        <is>
          <t>Margen %</t>
        </is>
      </c>
      <c r="R5" s="95" t="inlineStr">
        <is>
          <t>Notas</t>
        </is>
      </c>
    </row>
    <row r="6">
      <c r="B6" s="130" t="n"/>
      <c r="C6" s="100" t="n"/>
      <c r="D6" s="100" t="n"/>
      <c r="E6" s="96">
        <f>IF($D6="","",IFERROR(INDEX(INVENTARIO!$C$7:$C$26,MATCH($D6,INVENTARIO!$B$7:$B$26,0)),"⚠ ID no existe"))</f>
        <v/>
      </c>
      <c r="F6" s="128" t="n"/>
      <c r="G6" s="129" t="n"/>
      <c r="H6" s="112">
        <f>IF($D6="","",IF($G6="",IFERROR(INDEX(INVENTARIO!$N$7:$N$26,MATCH($D6,INVENTARIO!$B$7:$B$26,0)),""),$G6))</f>
        <v/>
      </c>
      <c r="I6" s="114">
        <f>IF($D6="","",N($F6)*IF(ISNUMBER($H6),$H6,0))</f>
        <v/>
      </c>
      <c r="J6" s="115">
        <f>IF($D6="","",IFERROR(IF(INDEX(INVENTARIO!$O$7:$O$26,MATCH($D6,INVENTARIO!$B$7:$B$26,0))="",CFG_WALMART,INDEX(INVENTARIO!$O$7:$O$26,MATCH($D6,INVENTARIO!$B$7:$B$26,0))),CFG_WALMART))</f>
        <v/>
      </c>
      <c r="K6" s="112">
        <f>IF($D6="","",$I6*$J6)</f>
        <v/>
      </c>
      <c r="L6" s="129" t="n"/>
      <c r="M6" s="114">
        <f>IF($D6="","",$I6-$K6-N($L6))</f>
        <v/>
      </c>
      <c r="N6" s="113">
        <f>IF($D6="","",IFERROR(INDEX(INVENTARIO!$L$7:$L$26,MATCH($D6,INVENTARIO!$B$7:$B$26,0))*1,0))</f>
        <v/>
      </c>
      <c r="O6" s="112">
        <f>IF($D6="","",N($F6)*$N6)</f>
        <v/>
      </c>
      <c r="P6" s="114">
        <f>IF($D6="","",$M6-$O6)</f>
        <v/>
      </c>
      <c r="Q6" s="115">
        <f>IF($D6="","",IF($I6&gt;0,$P6/$I6,""))</f>
        <v/>
      </c>
      <c r="R6" s="127" t="n"/>
    </row>
    <row r="7">
      <c r="B7" s="130" t="n"/>
      <c r="C7" s="100" t="n"/>
      <c r="D7" s="100" t="n"/>
      <c r="E7" s="96">
        <f>IF($D7="","",IFERROR(INDEX(INVENTARIO!$C$7:$C$26,MATCH($D7,INVENTARIO!$B$7:$B$26,0)),"⚠ ID no existe"))</f>
        <v/>
      </c>
      <c r="F7" s="128" t="n"/>
      <c r="G7" s="129" t="n"/>
      <c r="H7" s="112">
        <f>IF($D7="","",IF($G7="",IFERROR(INDEX(INVENTARIO!$N$7:$N$26,MATCH($D7,INVENTARIO!$B$7:$B$26,0)),""),$G7))</f>
        <v/>
      </c>
      <c r="I7" s="114">
        <f>IF($D7="","",N($F7)*IF(ISNUMBER($H7),$H7,0))</f>
        <v/>
      </c>
      <c r="J7" s="115">
        <f>IF($D7="","",IFERROR(IF(INDEX(INVENTARIO!$O$7:$O$26,MATCH($D7,INVENTARIO!$B$7:$B$26,0))="",CFG_WALMART,INDEX(INVENTARIO!$O$7:$O$26,MATCH($D7,INVENTARIO!$B$7:$B$26,0))),CFG_WALMART))</f>
        <v/>
      </c>
      <c r="K7" s="112">
        <f>IF($D7="","",$I7*$J7)</f>
        <v/>
      </c>
      <c r="L7" s="129" t="n"/>
      <c r="M7" s="114">
        <f>IF($D7="","",$I7-$K7-N($L7))</f>
        <v/>
      </c>
      <c r="N7" s="113">
        <f>IF($D7="","",IFERROR(INDEX(INVENTARIO!$L$7:$L$26,MATCH($D7,INVENTARIO!$B$7:$B$26,0))*1,0))</f>
        <v/>
      </c>
      <c r="O7" s="112">
        <f>IF($D7="","",N($F7)*$N7)</f>
        <v/>
      </c>
      <c r="P7" s="114">
        <f>IF($D7="","",$M7-$O7)</f>
        <v/>
      </c>
      <c r="Q7" s="115">
        <f>IF($D7="","",IF($I7&gt;0,$P7/$I7,""))</f>
        <v/>
      </c>
      <c r="R7" s="127" t="n"/>
    </row>
    <row r="8">
      <c r="B8" s="130" t="n"/>
      <c r="C8" s="100" t="n"/>
      <c r="D8" s="100" t="n"/>
      <c r="E8" s="96">
        <f>IF($D8="","",IFERROR(INDEX(INVENTARIO!$C$7:$C$26,MATCH($D8,INVENTARIO!$B$7:$B$26,0)),"⚠ ID no existe"))</f>
        <v/>
      </c>
      <c r="F8" s="128" t="n"/>
      <c r="G8" s="129" t="n"/>
      <c r="H8" s="112">
        <f>IF($D8="","",IF($G8="",IFERROR(INDEX(INVENTARIO!$N$7:$N$26,MATCH($D8,INVENTARIO!$B$7:$B$26,0)),""),$G8))</f>
        <v/>
      </c>
      <c r="I8" s="114">
        <f>IF($D8="","",N($F8)*IF(ISNUMBER($H8),$H8,0))</f>
        <v/>
      </c>
      <c r="J8" s="115">
        <f>IF($D8="","",IFERROR(IF(INDEX(INVENTARIO!$O$7:$O$26,MATCH($D8,INVENTARIO!$B$7:$B$26,0))="",CFG_WALMART,INDEX(INVENTARIO!$O$7:$O$26,MATCH($D8,INVENTARIO!$B$7:$B$26,0))),CFG_WALMART))</f>
        <v/>
      </c>
      <c r="K8" s="112">
        <f>IF($D8="","",$I8*$J8)</f>
        <v/>
      </c>
      <c r="L8" s="129" t="n"/>
      <c r="M8" s="114">
        <f>IF($D8="","",$I8-$K8-N($L8))</f>
        <v/>
      </c>
      <c r="N8" s="113">
        <f>IF($D8="","",IFERROR(INDEX(INVENTARIO!$L$7:$L$26,MATCH($D8,INVENTARIO!$B$7:$B$26,0))*1,0))</f>
        <v/>
      </c>
      <c r="O8" s="112">
        <f>IF($D8="","",N($F8)*$N8)</f>
        <v/>
      </c>
      <c r="P8" s="114">
        <f>IF($D8="","",$M8-$O8)</f>
        <v/>
      </c>
      <c r="Q8" s="115">
        <f>IF($D8="","",IF($I8&gt;0,$P8/$I8,""))</f>
        <v/>
      </c>
      <c r="R8" s="127" t="n"/>
    </row>
    <row r="9">
      <c r="B9" s="130" t="n"/>
      <c r="C9" s="100" t="n"/>
      <c r="D9" s="100" t="n"/>
      <c r="E9" s="96">
        <f>IF($D9="","",IFERROR(INDEX(INVENTARIO!$C$7:$C$26,MATCH($D9,INVENTARIO!$B$7:$B$26,0)),"⚠ ID no existe"))</f>
        <v/>
      </c>
      <c r="F9" s="128" t="n"/>
      <c r="G9" s="129" t="n"/>
      <c r="H9" s="112">
        <f>IF($D9="","",IF($G9="",IFERROR(INDEX(INVENTARIO!$N$7:$N$26,MATCH($D9,INVENTARIO!$B$7:$B$26,0)),""),$G9))</f>
        <v/>
      </c>
      <c r="I9" s="114">
        <f>IF($D9="","",N($F9)*IF(ISNUMBER($H9),$H9,0))</f>
        <v/>
      </c>
      <c r="J9" s="115">
        <f>IF($D9="","",IFERROR(IF(INDEX(INVENTARIO!$O$7:$O$26,MATCH($D9,INVENTARIO!$B$7:$B$26,0))="",CFG_WALMART,INDEX(INVENTARIO!$O$7:$O$26,MATCH($D9,INVENTARIO!$B$7:$B$26,0))),CFG_WALMART))</f>
        <v/>
      </c>
      <c r="K9" s="112">
        <f>IF($D9="","",$I9*$J9)</f>
        <v/>
      </c>
      <c r="L9" s="129" t="n"/>
      <c r="M9" s="114">
        <f>IF($D9="","",$I9-$K9-N($L9))</f>
        <v/>
      </c>
      <c r="N9" s="113">
        <f>IF($D9="","",IFERROR(INDEX(INVENTARIO!$L$7:$L$26,MATCH($D9,INVENTARIO!$B$7:$B$26,0))*1,0))</f>
        <v/>
      </c>
      <c r="O9" s="112">
        <f>IF($D9="","",N($F9)*$N9)</f>
        <v/>
      </c>
      <c r="P9" s="114">
        <f>IF($D9="","",$M9-$O9)</f>
        <v/>
      </c>
      <c r="Q9" s="115">
        <f>IF($D9="","",IF($I9&gt;0,$P9/$I9,""))</f>
        <v/>
      </c>
      <c r="R9" s="127" t="n"/>
    </row>
    <row r="10">
      <c r="B10" s="130" t="n"/>
      <c r="C10" s="100" t="n"/>
      <c r="D10" s="100" t="n"/>
      <c r="E10" s="96">
        <f>IF($D10="","",IFERROR(INDEX(INVENTARIO!$C$7:$C$26,MATCH($D10,INVENTARIO!$B$7:$B$26,0)),"⚠ ID no existe"))</f>
        <v/>
      </c>
      <c r="F10" s="128" t="n"/>
      <c r="G10" s="129" t="n"/>
      <c r="H10" s="112">
        <f>IF($D10="","",IF($G10="",IFERROR(INDEX(INVENTARIO!$N$7:$N$26,MATCH($D10,INVENTARIO!$B$7:$B$26,0)),""),$G10))</f>
        <v/>
      </c>
      <c r="I10" s="114">
        <f>IF($D10="","",N($F10)*IF(ISNUMBER($H10),$H10,0))</f>
        <v/>
      </c>
      <c r="J10" s="115">
        <f>IF($D10="","",IFERROR(IF(INDEX(INVENTARIO!$O$7:$O$26,MATCH($D10,INVENTARIO!$B$7:$B$26,0))="",CFG_WALMART,INDEX(INVENTARIO!$O$7:$O$26,MATCH($D10,INVENTARIO!$B$7:$B$26,0))),CFG_WALMART))</f>
        <v/>
      </c>
      <c r="K10" s="112">
        <f>IF($D10="","",$I10*$J10)</f>
        <v/>
      </c>
      <c r="L10" s="129" t="n"/>
      <c r="M10" s="114">
        <f>IF($D10="","",$I10-$K10-N($L10))</f>
        <v/>
      </c>
      <c r="N10" s="113">
        <f>IF($D10="","",IFERROR(INDEX(INVENTARIO!$L$7:$L$26,MATCH($D10,INVENTARIO!$B$7:$B$26,0))*1,0))</f>
        <v/>
      </c>
      <c r="O10" s="112">
        <f>IF($D10="","",N($F10)*$N10)</f>
        <v/>
      </c>
      <c r="P10" s="114">
        <f>IF($D10="","",$M10-$O10)</f>
        <v/>
      </c>
      <c r="Q10" s="115">
        <f>IF($D10="","",IF($I10&gt;0,$P10/$I10,""))</f>
        <v/>
      </c>
      <c r="R10" s="127" t="n"/>
    </row>
    <row r="11">
      <c r="B11" s="130" t="n"/>
      <c r="C11" s="100" t="n"/>
      <c r="D11" s="100" t="n"/>
      <c r="E11" s="96">
        <f>IF($D11="","",IFERROR(INDEX(INVENTARIO!$C$7:$C$26,MATCH($D11,INVENTARIO!$B$7:$B$26,0)),"⚠ ID no existe"))</f>
        <v/>
      </c>
      <c r="F11" s="128" t="n"/>
      <c r="G11" s="129" t="n"/>
      <c r="H11" s="112">
        <f>IF($D11="","",IF($G11="",IFERROR(INDEX(INVENTARIO!$N$7:$N$26,MATCH($D11,INVENTARIO!$B$7:$B$26,0)),""),$G11))</f>
        <v/>
      </c>
      <c r="I11" s="114">
        <f>IF($D11="","",N($F11)*IF(ISNUMBER($H11),$H11,0))</f>
        <v/>
      </c>
      <c r="J11" s="115">
        <f>IF($D11="","",IFERROR(IF(INDEX(INVENTARIO!$O$7:$O$26,MATCH($D11,INVENTARIO!$B$7:$B$26,0))="",CFG_WALMART,INDEX(INVENTARIO!$O$7:$O$26,MATCH($D11,INVENTARIO!$B$7:$B$26,0))),CFG_WALMART))</f>
        <v/>
      </c>
      <c r="K11" s="112">
        <f>IF($D11="","",$I11*$J11)</f>
        <v/>
      </c>
      <c r="L11" s="129" t="n"/>
      <c r="M11" s="114">
        <f>IF($D11="","",$I11-$K11-N($L11))</f>
        <v/>
      </c>
      <c r="N11" s="113">
        <f>IF($D11="","",IFERROR(INDEX(INVENTARIO!$L$7:$L$26,MATCH($D11,INVENTARIO!$B$7:$B$26,0))*1,0))</f>
        <v/>
      </c>
      <c r="O11" s="112">
        <f>IF($D11="","",N($F11)*$N11)</f>
        <v/>
      </c>
      <c r="P11" s="114">
        <f>IF($D11="","",$M11-$O11)</f>
        <v/>
      </c>
      <c r="Q11" s="115">
        <f>IF($D11="","",IF($I11&gt;0,$P11/$I11,""))</f>
        <v/>
      </c>
      <c r="R11" s="127" t="n"/>
    </row>
    <row r="12">
      <c r="B12" s="130" t="n"/>
      <c r="C12" s="100" t="n"/>
      <c r="D12" s="100" t="n"/>
      <c r="E12" s="96">
        <f>IF($D12="","",IFERROR(INDEX(INVENTARIO!$C$7:$C$26,MATCH($D12,INVENTARIO!$B$7:$B$26,0)),"⚠ ID no existe"))</f>
        <v/>
      </c>
      <c r="F12" s="128" t="n"/>
      <c r="G12" s="129" t="n"/>
      <c r="H12" s="112">
        <f>IF($D12="","",IF($G12="",IFERROR(INDEX(INVENTARIO!$N$7:$N$26,MATCH($D12,INVENTARIO!$B$7:$B$26,0)),""),$G12))</f>
        <v/>
      </c>
      <c r="I12" s="114">
        <f>IF($D12="","",N($F12)*IF(ISNUMBER($H12),$H12,0))</f>
        <v/>
      </c>
      <c r="J12" s="115">
        <f>IF($D12="","",IFERROR(IF(INDEX(INVENTARIO!$O$7:$O$26,MATCH($D12,INVENTARIO!$B$7:$B$26,0))="",CFG_WALMART,INDEX(INVENTARIO!$O$7:$O$26,MATCH($D12,INVENTARIO!$B$7:$B$26,0))),CFG_WALMART))</f>
        <v/>
      </c>
      <c r="K12" s="112">
        <f>IF($D12="","",$I12*$J12)</f>
        <v/>
      </c>
      <c r="L12" s="129" t="n"/>
      <c r="M12" s="114">
        <f>IF($D12="","",$I12-$K12-N($L12))</f>
        <v/>
      </c>
      <c r="N12" s="113">
        <f>IF($D12="","",IFERROR(INDEX(INVENTARIO!$L$7:$L$26,MATCH($D12,INVENTARIO!$B$7:$B$26,0))*1,0))</f>
        <v/>
      </c>
      <c r="O12" s="112">
        <f>IF($D12="","",N($F12)*$N12)</f>
        <v/>
      </c>
      <c r="P12" s="114">
        <f>IF($D12="","",$M12-$O12)</f>
        <v/>
      </c>
      <c r="Q12" s="115">
        <f>IF($D12="","",IF($I12&gt;0,$P12/$I12,""))</f>
        <v/>
      </c>
      <c r="R12" s="127" t="n"/>
    </row>
    <row r="13">
      <c r="B13" s="130" t="n"/>
      <c r="C13" s="100" t="n"/>
      <c r="D13" s="100" t="n"/>
      <c r="E13" s="96">
        <f>IF($D13="","",IFERROR(INDEX(INVENTARIO!$C$7:$C$26,MATCH($D13,INVENTARIO!$B$7:$B$26,0)),"⚠ ID no existe"))</f>
        <v/>
      </c>
      <c r="F13" s="128" t="n"/>
      <c r="G13" s="129" t="n"/>
      <c r="H13" s="112">
        <f>IF($D13="","",IF($G13="",IFERROR(INDEX(INVENTARIO!$N$7:$N$26,MATCH($D13,INVENTARIO!$B$7:$B$26,0)),""),$G13))</f>
        <v/>
      </c>
      <c r="I13" s="114">
        <f>IF($D13="","",N($F13)*IF(ISNUMBER($H13),$H13,0))</f>
        <v/>
      </c>
      <c r="J13" s="115">
        <f>IF($D13="","",IFERROR(IF(INDEX(INVENTARIO!$O$7:$O$26,MATCH($D13,INVENTARIO!$B$7:$B$26,0))="",CFG_WALMART,INDEX(INVENTARIO!$O$7:$O$26,MATCH($D13,INVENTARIO!$B$7:$B$26,0))),CFG_WALMART))</f>
        <v/>
      </c>
      <c r="K13" s="112">
        <f>IF($D13="","",$I13*$J13)</f>
        <v/>
      </c>
      <c r="L13" s="129" t="n"/>
      <c r="M13" s="114">
        <f>IF($D13="","",$I13-$K13-N($L13))</f>
        <v/>
      </c>
      <c r="N13" s="113">
        <f>IF($D13="","",IFERROR(INDEX(INVENTARIO!$L$7:$L$26,MATCH($D13,INVENTARIO!$B$7:$B$26,0))*1,0))</f>
        <v/>
      </c>
      <c r="O13" s="112">
        <f>IF($D13="","",N($F13)*$N13)</f>
        <v/>
      </c>
      <c r="P13" s="114">
        <f>IF($D13="","",$M13-$O13)</f>
        <v/>
      </c>
      <c r="Q13" s="115">
        <f>IF($D13="","",IF($I13&gt;0,$P13/$I13,""))</f>
        <v/>
      </c>
      <c r="R13" s="127" t="n"/>
    </row>
    <row r="14">
      <c r="B14" s="130" t="n"/>
      <c r="C14" s="100" t="n"/>
      <c r="D14" s="100" t="n"/>
      <c r="E14" s="96">
        <f>IF($D14="","",IFERROR(INDEX(INVENTARIO!$C$7:$C$26,MATCH($D14,INVENTARIO!$B$7:$B$26,0)),"⚠ ID no existe"))</f>
        <v/>
      </c>
      <c r="F14" s="128" t="n"/>
      <c r="G14" s="129" t="n"/>
      <c r="H14" s="112">
        <f>IF($D14="","",IF($G14="",IFERROR(INDEX(INVENTARIO!$N$7:$N$26,MATCH($D14,INVENTARIO!$B$7:$B$26,0)),""),$G14))</f>
        <v/>
      </c>
      <c r="I14" s="114">
        <f>IF($D14="","",N($F14)*IF(ISNUMBER($H14),$H14,0))</f>
        <v/>
      </c>
      <c r="J14" s="115">
        <f>IF($D14="","",IFERROR(IF(INDEX(INVENTARIO!$O$7:$O$26,MATCH($D14,INVENTARIO!$B$7:$B$26,0))="",CFG_WALMART,INDEX(INVENTARIO!$O$7:$O$26,MATCH($D14,INVENTARIO!$B$7:$B$26,0))),CFG_WALMART))</f>
        <v/>
      </c>
      <c r="K14" s="112">
        <f>IF($D14="","",$I14*$J14)</f>
        <v/>
      </c>
      <c r="L14" s="129" t="n"/>
      <c r="M14" s="114">
        <f>IF($D14="","",$I14-$K14-N($L14))</f>
        <v/>
      </c>
      <c r="N14" s="113">
        <f>IF($D14="","",IFERROR(INDEX(INVENTARIO!$L$7:$L$26,MATCH($D14,INVENTARIO!$B$7:$B$26,0))*1,0))</f>
        <v/>
      </c>
      <c r="O14" s="112">
        <f>IF($D14="","",N($F14)*$N14)</f>
        <v/>
      </c>
      <c r="P14" s="114">
        <f>IF($D14="","",$M14-$O14)</f>
        <v/>
      </c>
      <c r="Q14" s="115">
        <f>IF($D14="","",IF($I14&gt;0,$P14/$I14,""))</f>
        <v/>
      </c>
      <c r="R14" s="127" t="n"/>
    </row>
    <row r="15">
      <c r="B15" s="130" t="n"/>
      <c r="C15" s="100" t="n"/>
      <c r="D15" s="100" t="n"/>
      <c r="E15" s="96">
        <f>IF($D15="","",IFERROR(INDEX(INVENTARIO!$C$7:$C$26,MATCH($D15,INVENTARIO!$B$7:$B$26,0)),"⚠ ID no existe"))</f>
        <v/>
      </c>
      <c r="F15" s="128" t="n"/>
      <c r="G15" s="129" t="n"/>
      <c r="H15" s="112">
        <f>IF($D15="","",IF($G15="",IFERROR(INDEX(INVENTARIO!$N$7:$N$26,MATCH($D15,INVENTARIO!$B$7:$B$26,0)),""),$G15))</f>
        <v/>
      </c>
      <c r="I15" s="114">
        <f>IF($D15="","",N($F15)*IF(ISNUMBER($H15),$H15,0))</f>
        <v/>
      </c>
      <c r="J15" s="115">
        <f>IF($D15="","",IFERROR(IF(INDEX(INVENTARIO!$O$7:$O$26,MATCH($D15,INVENTARIO!$B$7:$B$26,0))="",CFG_WALMART,INDEX(INVENTARIO!$O$7:$O$26,MATCH($D15,INVENTARIO!$B$7:$B$26,0))),CFG_WALMART))</f>
        <v/>
      </c>
      <c r="K15" s="112">
        <f>IF($D15="","",$I15*$J15)</f>
        <v/>
      </c>
      <c r="L15" s="129" t="n"/>
      <c r="M15" s="114">
        <f>IF($D15="","",$I15-$K15-N($L15))</f>
        <v/>
      </c>
      <c r="N15" s="113">
        <f>IF($D15="","",IFERROR(INDEX(INVENTARIO!$L$7:$L$26,MATCH($D15,INVENTARIO!$B$7:$B$26,0))*1,0))</f>
        <v/>
      </c>
      <c r="O15" s="112">
        <f>IF($D15="","",N($F15)*$N15)</f>
        <v/>
      </c>
      <c r="P15" s="114">
        <f>IF($D15="","",$M15-$O15)</f>
        <v/>
      </c>
      <c r="Q15" s="115">
        <f>IF($D15="","",IF($I15&gt;0,$P15/$I15,""))</f>
        <v/>
      </c>
      <c r="R15" s="127" t="n"/>
    </row>
    <row r="16">
      <c r="B16" s="130" t="n"/>
      <c r="C16" s="100" t="n"/>
      <c r="D16" s="100" t="n"/>
      <c r="E16" s="96">
        <f>IF($D16="","",IFERROR(INDEX(INVENTARIO!$C$7:$C$26,MATCH($D16,INVENTARIO!$B$7:$B$26,0)),"⚠ ID no existe"))</f>
        <v/>
      </c>
      <c r="F16" s="128" t="n"/>
      <c r="G16" s="129" t="n"/>
      <c r="H16" s="112">
        <f>IF($D16="","",IF($G16="",IFERROR(INDEX(INVENTARIO!$N$7:$N$26,MATCH($D16,INVENTARIO!$B$7:$B$26,0)),""),$G16))</f>
        <v/>
      </c>
      <c r="I16" s="114">
        <f>IF($D16="","",N($F16)*IF(ISNUMBER($H16),$H16,0))</f>
        <v/>
      </c>
      <c r="J16" s="115">
        <f>IF($D16="","",IFERROR(IF(INDEX(INVENTARIO!$O$7:$O$26,MATCH($D16,INVENTARIO!$B$7:$B$26,0))="",CFG_WALMART,INDEX(INVENTARIO!$O$7:$O$26,MATCH($D16,INVENTARIO!$B$7:$B$26,0))),CFG_WALMART))</f>
        <v/>
      </c>
      <c r="K16" s="112">
        <f>IF($D16="","",$I16*$J16)</f>
        <v/>
      </c>
      <c r="L16" s="129" t="n"/>
      <c r="M16" s="114">
        <f>IF($D16="","",$I16-$K16-N($L16))</f>
        <v/>
      </c>
      <c r="N16" s="113">
        <f>IF($D16="","",IFERROR(INDEX(INVENTARIO!$L$7:$L$26,MATCH($D16,INVENTARIO!$B$7:$B$26,0))*1,0))</f>
        <v/>
      </c>
      <c r="O16" s="112">
        <f>IF($D16="","",N($F16)*$N16)</f>
        <v/>
      </c>
      <c r="P16" s="114">
        <f>IF($D16="","",$M16-$O16)</f>
        <v/>
      </c>
      <c r="Q16" s="115">
        <f>IF($D16="","",IF($I16&gt;0,$P16/$I16,""))</f>
        <v/>
      </c>
      <c r="R16" s="127" t="n"/>
    </row>
    <row r="17">
      <c r="B17" s="130" t="n"/>
      <c r="C17" s="100" t="n"/>
      <c r="D17" s="100" t="n"/>
      <c r="E17" s="96">
        <f>IF($D17="","",IFERROR(INDEX(INVENTARIO!$C$7:$C$26,MATCH($D17,INVENTARIO!$B$7:$B$26,0)),"⚠ ID no existe"))</f>
        <v/>
      </c>
      <c r="F17" s="128" t="n"/>
      <c r="G17" s="129" t="n"/>
      <c r="H17" s="112">
        <f>IF($D17="","",IF($G17="",IFERROR(INDEX(INVENTARIO!$N$7:$N$26,MATCH($D17,INVENTARIO!$B$7:$B$26,0)),""),$G17))</f>
        <v/>
      </c>
      <c r="I17" s="114">
        <f>IF($D17="","",N($F17)*IF(ISNUMBER($H17),$H17,0))</f>
        <v/>
      </c>
      <c r="J17" s="115">
        <f>IF($D17="","",IFERROR(IF(INDEX(INVENTARIO!$O$7:$O$26,MATCH($D17,INVENTARIO!$B$7:$B$26,0))="",CFG_WALMART,INDEX(INVENTARIO!$O$7:$O$26,MATCH($D17,INVENTARIO!$B$7:$B$26,0))),CFG_WALMART))</f>
        <v/>
      </c>
      <c r="K17" s="112">
        <f>IF($D17="","",$I17*$J17)</f>
        <v/>
      </c>
      <c r="L17" s="129" t="n"/>
      <c r="M17" s="114">
        <f>IF($D17="","",$I17-$K17-N($L17))</f>
        <v/>
      </c>
      <c r="N17" s="113">
        <f>IF($D17="","",IFERROR(INDEX(INVENTARIO!$L$7:$L$26,MATCH($D17,INVENTARIO!$B$7:$B$26,0))*1,0))</f>
        <v/>
      </c>
      <c r="O17" s="112">
        <f>IF($D17="","",N($F17)*$N17)</f>
        <v/>
      </c>
      <c r="P17" s="114">
        <f>IF($D17="","",$M17-$O17)</f>
        <v/>
      </c>
      <c r="Q17" s="115">
        <f>IF($D17="","",IF($I17&gt;0,$P17/$I17,""))</f>
        <v/>
      </c>
      <c r="R17" s="127" t="n"/>
    </row>
    <row r="18">
      <c r="B18" s="130" t="n"/>
      <c r="C18" s="100" t="n"/>
      <c r="D18" s="100" t="n"/>
      <c r="E18" s="96">
        <f>IF($D18="","",IFERROR(INDEX(INVENTARIO!$C$7:$C$26,MATCH($D18,INVENTARIO!$B$7:$B$26,0)),"⚠ ID no existe"))</f>
        <v/>
      </c>
      <c r="F18" s="128" t="n"/>
      <c r="G18" s="129" t="n"/>
      <c r="H18" s="112">
        <f>IF($D18="","",IF($G18="",IFERROR(INDEX(INVENTARIO!$N$7:$N$26,MATCH($D18,INVENTARIO!$B$7:$B$26,0)),""),$G18))</f>
        <v/>
      </c>
      <c r="I18" s="114">
        <f>IF($D18="","",N($F18)*IF(ISNUMBER($H18),$H18,0))</f>
        <v/>
      </c>
      <c r="J18" s="115">
        <f>IF($D18="","",IFERROR(IF(INDEX(INVENTARIO!$O$7:$O$26,MATCH($D18,INVENTARIO!$B$7:$B$26,0))="",CFG_WALMART,INDEX(INVENTARIO!$O$7:$O$26,MATCH($D18,INVENTARIO!$B$7:$B$26,0))),CFG_WALMART))</f>
        <v/>
      </c>
      <c r="K18" s="112">
        <f>IF($D18="","",$I18*$J18)</f>
        <v/>
      </c>
      <c r="L18" s="129" t="n"/>
      <c r="M18" s="114">
        <f>IF($D18="","",$I18-$K18-N($L18))</f>
        <v/>
      </c>
      <c r="N18" s="113">
        <f>IF($D18="","",IFERROR(INDEX(INVENTARIO!$L$7:$L$26,MATCH($D18,INVENTARIO!$B$7:$B$26,0))*1,0))</f>
        <v/>
      </c>
      <c r="O18" s="112">
        <f>IF($D18="","",N($F18)*$N18)</f>
        <v/>
      </c>
      <c r="P18" s="114">
        <f>IF($D18="","",$M18-$O18)</f>
        <v/>
      </c>
      <c r="Q18" s="115">
        <f>IF($D18="","",IF($I18&gt;0,$P18/$I18,""))</f>
        <v/>
      </c>
      <c r="R18" s="127" t="n"/>
    </row>
    <row r="19">
      <c r="B19" s="130" t="n"/>
      <c r="C19" s="100" t="n"/>
      <c r="D19" s="100" t="n"/>
      <c r="E19" s="96">
        <f>IF($D19="","",IFERROR(INDEX(INVENTARIO!$C$7:$C$26,MATCH($D19,INVENTARIO!$B$7:$B$26,0)),"⚠ ID no existe"))</f>
        <v/>
      </c>
      <c r="F19" s="128" t="n"/>
      <c r="G19" s="129" t="n"/>
      <c r="H19" s="112">
        <f>IF($D19="","",IF($G19="",IFERROR(INDEX(INVENTARIO!$N$7:$N$26,MATCH($D19,INVENTARIO!$B$7:$B$26,0)),""),$G19))</f>
        <v/>
      </c>
      <c r="I19" s="114">
        <f>IF($D19="","",N($F19)*IF(ISNUMBER($H19),$H19,0))</f>
        <v/>
      </c>
      <c r="J19" s="115">
        <f>IF($D19="","",IFERROR(IF(INDEX(INVENTARIO!$O$7:$O$26,MATCH($D19,INVENTARIO!$B$7:$B$26,0))="",CFG_WALMART,INDEX(INVENTARIO!$O$7:$O$26,MATCH($D19,INVENTARIO!$B$7:$B$26,0))),CFG_WALMART))</f>
        <v/>
      </c>
      <c r="K19" s="112">
        <f>IF($D19="","",$I19*$J19)</f>
        <v/>
      </c>
      <c r="L19" s="129" t="n"/>
      <c r="M19" s="114">
        <f>IF($D19="","",$I19-$K19-N($L19))</f>
        <v/>
      </c>
      <c r="N19" s="113">
        <f>IF($D19="","",IFERROR(INDEX(INVENTARIO!$L$7:$L$26,MATCH($D19,INVENTARIO!$B$7:$B$26,0))*1,0))</f>
        <v/>
      </c>
      <c r="O19" s="112">
        <f>IF($D19="","",N($F19)*$N19)</f>
        <v/>
      </c>
      <c r="P19" s="114">
        <f>IF($D19="","",$M19-$O19)</f>
        <v/>
      </c>
      <c r="Q19" s="115">
        <f>IF($D19="","",IF($I19&gt;0,$P19/$I19,""))</f>
        <v/>
      </c>
      <c r="R19" s="127" t="n"/>
    </row>
    <row r="20">
      <c r="B20" s="130" t="n"/>
      <c r="C20" s="100" t="n"/>
      <c r="D20" s="100" t="n"/>
      <c r="E20" s="96">
        <f>IF($D20="","",IFERROR(INDEX(INVENTARIO!$C$7:$C$26,MATCH($D20,INVENTARIO!$B$7:$B$26,0)),"⚠ ID no existe"))</f>
        <v/>
      </c>
      <c r="F20" s="128" t="n"/>
      <c r="G20" s="129" t="n"/>
      <c r="H20" s="112">
        <f>IF($D20="","",IF($G20="",IFERROR(INDEX(INVENTARIO!$N$7:$N$26,MATCH($D20,INVENTARIO!$B$7:$B$26,0)),""),$G20))</f>
        <v/>
      </c>
      <c r="I20" s="114">
        <f>IF($D20="","",N($F20)*IF(ISNUMBER($H20),$H20,0))</f>
        <v/>
      </c>
      <c r="J20" s="115">
        <f>IF($D20="","",IFERROR(IF(INDEX(INVENTARIO!$O$7:$O$26,MATCH($D20,INVENTARIO!$B$7:$B$26,0))="",CFG_WALMART,INDEX(INVENTARIO!$O$7:$O$26,MATCH($D20,INVENTARIO!$B$7:$B$26,0))),CFG_WALMART))</f>
        <v/>
      </c>
      <c r="K20" s="112">
        <f>IF($D20="","",$I20*$J20)</f>
        <v/>
      </c>
      <c r="L20" s="129" t="n"/>
      <c r="M20" s="114">
        <f>IF($D20="","",$I20-$K20-N($L20))</f>
        <v/>
      </c>
      <c r="N20" s="113">
        <f>IF($D20="","",IFERROR(INDEX(INVENTARIO!$L$7:$L$26,MATCH($D20,INVENTARIO!$B$7:$B$26,0))*1,0))</f>
        <v/>
      </c>
      <c r="O20" s="112">
        <f>IF($D20="","",N($F20)*$N20)</f>
        <v/>
      </c>
      <c r="P20" s="114">
        <f>IF($D20="","",$M20-$O20)</f>
        <v/>
      </c>
      <c r="Q20" s="115">
        <f>IF($D20="","",IF($I20&gt;0,$P20/$I20,""))</f>
        <v/>
      </c>
      <c r="R20" s="127" t="n"/>
    </row>
    <row r="21">
      <c r="B21" s="130" t="n"/>
      <c r="C21" s="100" t="n"/>
      <c r="D21" s="100" t="n"/>
      <c r="E21" s="96">
        <f>IF($D21="","",IFERROR(INDEX(INVENTARIO!$C$7:$C$26,MATCH($D21,INVENTARIO!$B$7:$B$26,0)),"⚠ ID no existe"))</f>
        <v/>
      </c>
      <c r="F21" s="128" t="n"/>
      <c r="G21" s="129" t="n"/>
      <c r="H21" s="112">
        <f>IF($D21="","",IF($G21="",IFERROR(INDEX(INVENTARIO!$N$7:$N$26,MATCH($D21,INVENTARIO!$B$7:$B$26,0)),""),$G21))</f>
        <v/>
      </c>
      <c r="I21" s="114">
        <f>IF($D21="","",N($F21)*IF(ISNUMBER($H21),$H21,0))</f>
        <v/>
      </c>
      <c r="J21" s="115">
        <f>IF($D21="","",IFERROR(IF(INDEX(INVENTARIO!$O$7:$O$26,MATCH($D21,INVENTARIO!$B$7:$B$26,0))="",CFG_WALMART,INDEX(INVENTARIO!$O$7:$O$26,MATCH($D21,INVENTARIO!$B$7:$B$26,0))),CFG_WALMART))</f>
        <v/>
      </c>
      <c r="K21" s="112">
        <f>IF($D21="","",$I21*$J21)</f>
        <v/>
      </c>
      <c r="L21" s="129" t="n"/>
      <c r="M21" s="114">
        <f>IF($D21="","",$I21-$K21-N($L21))</f>
        <v/>
      </c>
      <c r="N21" s="113">
        <f>IF($D21="","",IFERROR(INDEX(INVENTARIO!$L$7:$L$26,MATCH($D21,INVENTARIO!$B$7:$B$26,0))*1,0))</f>
        <v/>
      </c>
      <c r="O21" s="112">
        <f>IF($D21="","",N($F21)*$N21)</f>
        <v/>
      </c>
      <c r="P21" s="114">
        <f>IF($D21="","",$M21-$O21)</f>
        <v/>
      </c>
      <c r="Q21" s="115">
        <f>IF($D21="","",IF($I21&gt;0,$P21/$I21,""))</f>
        <v/>
      </c>
      <c r="R21" s="127" t="n"/>
    </row>
    <row r="22">
      <c r="B22" s="130" t="n"/>
      <c r="C22" s="100" t="n"/>
      <c r="D22" s="100" t="n"/>
      <c r="E22" s="96">
        <f>IF($D22="","",IFERROR(INDEX(INVENTARIO!$C$7:$C$26,MATCH($D22,INVENTARIO!$B$7:$B$26,0)),"⚠ ID no existe"))</f>
        <v/>
      </c>
      <c r="F22" s="128" t="n"/>
      <c r="G22" s="129" t="n"/>
      <c r="H22" s="112">
        <f>IF($D22="","",IF($G22="",IFERROR(INDEX(INVENTARIO!$N$7:$N$26,MATCH($D22,INVENTARIO!$B$7:$B$26,0)),""),$G22))</f>
        <v/>
      </c>
      <c r="I22" s="114">
        <f>IF($D22="","",N($F22)*IF(ISNUMBER($H22),$H22,0))</f>
        <v/>
      </c>
      <c r="J22" s="115">
        <f>IF($D22="","",IFERROR(IF(INDEX(INVENTARIO!$O$7:$O$26,MATCH($D22,INVENTARIO!$B$7:$B$26,0))="",CFG_WALMART,INDEX(INVENTARIO!$O$7:$O$26,MATCH($D22,INVENTARIO!$B$7:$B$26,0))),CFG_WALMART))</f>
        <v/>
      </c>
      <c r="K22" s="112">
        <f>IF($D22="","",$I22*$J22)</f>
        <v/>
      </c>
      <c r="L22" s="129" t="n"/>
      <c r="M22" s="114">
        <f>IF($D22="","",$I22-$K22-N($L22))</f>
        <v/>
      </c>
      <c r="N22" s="113">
        <f>IF($D22="","",IFERROR(INDEX(INVENTARIO!$L$7:$L$26,MATCH($D22,INVENTARIO!$B$7:$B$26,0))*1,0))</f>
        <v/>
      </c>
      <c r="O22" s="112">
        <f>IF($D22="","",N($F22)*$N22)</f>
        <v/>
      </c>
      <c r="P22" s="114">
        <f>IF($D22="","",$M22-$O22)</f>
        <v/>
      </c>
      <c r="Q22" s="115">
        <f>IF($D22="","",IF($I22&gt;0,$P22/$I22,""))</f>
        <v/>
      </c>
      <c r="R22" s="127" t="n"/>
    </row>
    <row r="23">
      <c r="B23" s="130" t="n"/>
      <c r="C23" s="100" t="n"/>
      <c r="D23" s="100" t="n"/>
      <c r="E23" s="96">
        <f>IF($D23="","",IFERROR(INDEX(INVENTARIO!$C$7:$C$26,MATCH($D23,INVENTARIO!$B$7:$B$26,0)),"⚠ ID no existe"))</f>
        <v/>
      </c>
      <c r="F23" s="128" t="n"/>
      <c r="G23" s="129" t="n"/>
      <c r="H23" s="112">
        <f>IF($D23="","",IF($G23="",IFERROR(INDEX(INVENTARIO!$N$7:$N$26,MATCH($D23,INVENTARIO!$B$7:$B$26,0)),""),$G23))</f>
        <v/>
      </c>
      <c r="I23" s="114">
        <f>IF($D23="","",N($F23)*IF(ISNUMBER($H23),$H23,0))</f>
        <v/>
      </c>
      <c r="J23" s="115">
        <f>IF($D23="","",IFERROR(IF(INDEX(INVENTARIO!$O$7:$O$26,MATCH($D23,INVENTARIO!$B$7:$B$26,0))="",CFG_WALMART,INDEX(INVENTARIO!$O$7:$O$26,MATCH($D23,INVENTARIO!$B$7:$B$26,0))),CFG_WALMART))</f>
        <v/>
      </c>
      <c r="K23" s="112">
        <f>IF($D23="","",$I23*$J23)</f>
        <v/>
      </c>
      <c r="L23" s="129" t="n"/>
      <c r="M23" s="114">
        <f>IF($D23="","",$I23-$K23-N($L23))</f>
        <v/>
      </c>
      <c r="N23" s="113">
        <f>IF($D23="","",IFERROR(INDEX(INVENTARIO!$L$7:$L$26,MATCH($D23,INVENTARIO!$B$7:$B$26,0))*1,0))</f>
        <v/>
      </c>
      <c r="O23" s="112">
        <f>IF($D23="","",N($F23)*$N23)</f>
        <v/>
      </c>
      <c r="P23" s="114">
        <f>IF($D23="","",$M23-$O23)</f>
        <v/>
      </c>
      <c r="Q23" s="115">
        <f>IF($D23="","",IF($I23&gt;0,$P23/$I23,""))</f>
        <v/>
      </c>
      <c r="R23" s="127" t="n"/>
    </row>
    <row r="24">
      <c r="B24" s="130" t="n"/>
      <c r="C24" s="100" t="n"/>
      <c r="D24" s="100" t="n"/>
      <c r="E24" s="96">
        <f>IF($D24="","",IFERROR(INDEX(INVENTARIO!$C$7:$C$26,MATCH($D24,INVENTARIO!$B$7:$B$26,0)),"⚠ ID no existe"))</f>
        <v/>
      </c>
      <c r="F24" s="128" t="n"/>
      <c r="G24" s="129" t="n"/>
      <c r="H24" s="112">
        <f>IF($D24="","",IF($G24="",IFERROR(INDEX(INVENTARIO!$N$7:$N$26,MATCH($D24,INVENTARIO!$B$7:$B$26,0)),""),$G24))</f>
        <v/>
      </c>
      <c r="I24" s="114">
        <f>IF($D24="","",N($F24)*IF(ISNUMBER($H24),$H24,0))</f>
        <v/>
      </c>
      <c r="J24" s="115">
        <f>IF($D24="","",IFERROR(IF(INDEX(INVENTARIO!$O$7:$O$26,MATCH($D24,INVENTARIO!$B$7:$B$26,0))="",CFG_WALMART,INDEX(INVENTARIO!$O$7:$O$26,MATCH($D24,INVENTARIO!$B$7:$B$26,0))),CFG_WALMART))</f>
        <v/>
      </c>
      <c r="K24" s="112">
        <f>IF($D24="","",$I24*$J24)</f>
        <v/>
      </c>
      <c r="L24" s="129" t="n"/>
      <c r="M24" s="114">
        <f>IF($D24="","",$I24-$K24-N($L24))</f>
        <v/>
      </c>
      <c r="N24" s="113">
        <f>IF($D24="","",IFERROR(INDEX(INVENTARIO!$L$7:$L$26,MATCH($D24,INVENTARIO!$B$7:$B$26,0))*1,0))</f>
        <v/>
      </c>
      <c r="O24" s="112">
        <f>IF($D24="","",N($F24)*$N24)</f>
        <v/>
      </c>
      <c r="P24" s="114">
        <f>IF($D24="","",$M24-$O24)</f>
        <v/>
      </c>
      <c r="Q24" s="115">
        <f>IF($D24="","",IF($I24&gt;0,$P24/$I24,""))</f>
        <v/>
      </c>
      <c r="R24" s="127" t="n"/>
    </row>
    <row r="25">
      <c r="B25" s="130" t="n"/>
      <c r="C25" s="100" t="n"/>
      <c r="D25" s="100" t="n"/>
      <c r="E25" s="96">
        <f>IF($D25="","",IFERROR(INDEX(INVENTARIO!$C$7:$C$26,MATCH($D25,INVENTARIO!$B$7:$B$26,0)),"⚠ ID no existe"))</f>
        <v/>
      </c>
      <c r="F25" s="128" t="n"/>
      <c r="G25" s="129" t="n"/>
      <c r="H25" s="112">
        <f>IF($D25="","",IF($G25="",IFERROR(INDEX(INVENTARIO!$N$7:$N$26,MATCH($D25,INVENTARIO!$B$7:$B$26,0)),""),$G25))</f>
        <v/>
      </c>
      <c r="I25" s="114">
        <f>IF($D25="","",N($F25)*IF(ISNUMBER($H25),$H25,0))</f>
        <v/>
      </c>
      <c r="J25" s="115">
        <f>IF($D25="","",IFERROR(IF(INDEX(INVENTARIO!$O$7:$O$26,MATCH($D25,INVENTARIO!$B$7:$B$26,0))="",CFG_WALMART,INDEX(INVENTARIO!$O$7:$O$26,MATCH($D25,INVENTARIO!$B$7:$B$26,0))),CFG_WALMART))</f>
        <v/>
      </c>
      <c r="K25" s="112">
        <f>IF($D25="","",$I25*$J25)</f>
        <v/>
      </c>
      <c r="L25" s="129" t="n"/>
      <c r="M25" s="114">
        <f>IF($D25="","",$I25-$K25-N($L25))</f>
        <v/>
      </c>
      <c r="N25" s="113">
        <f>IF($D25="","",IFERROR(INDEX(INVENTARIO!$L$7:$L$26,MATCH($D25,INVENTARIO!$B$7:$B$26,0))*1,0))</f>
        <v/>
      </c>
      <c r="O25" s="112">
        <f>IF($D25="","",N($F25)*$N25)</f>
        <v/>
      </c>
      <c r="P25" s="114">
        <f>IF($D25="","",$M25-$O25)</f>
        <v/>
      </c>
      <c r="Q25" s="115">
        <f>IF($D25="","",IF($I25&gt;0,$P25/$I25,""))</f>
        <v/>
      </c>
      <c r="R25" s="127" t="n"/>
    </row>
    <row r="26">
      <c r="B26" s="130" t="n"/>
      <c r="C26" s="100" t="n"/>
      <c r="D26" s="100" t="n"/>
      <c r="E26" s="96">
        <f>IF($D26="","",IFERROR(INDEX(INVENTARIO!$C$7:$C$26,MATCH($D26,INVENTARIO!$B$7:$B$26,0)),"⚠ ID no existe"))</f>
        <v/>
      </c>
      <c r="F26" s="128" t="n"/>
      <c r="G26" s="129" t="n"/>
      <c r="H26" s="112">
        <f>IF($D26="","",IF($G26="",IFERROR(INDEX(INVENTARIO!$N$7:$N$26,MATCH($D26,INVENTARIO!$B$7:$B$26,0)),""),$G26))</f>
        <v/>
      </c>
      <c r="I26" s="114">
        <f>IF($D26="","",N($F26)*IF(ISNUMBER($H26),$H26,0))</f>
        <v/>
      </c>
      <c r="J26" s="115">
        <f>IF($D26="","",IFERROR(IF(INDEX(INVENTARIO!$O$7:$O$26,MATCH($D26,INVENTARIO!$B$7:$B$26,0))="",CFG_WALMART,INDEX(INVENTARIO!$O$7:$O$26,MATCH($D26,INVENTARIO!$B$7:$B$26,0))),CFG_WALMART))</f>
        <v/>
      </c>
      <c r="K26" s="112">
        <f>IF($D26="","",$I26*$J26)</f>
        <v/>
      </c>
      <c r="L26" s="129" t="n"/>
      <c r="M26" s="114">
        <f>IF($D26="","",$I26-$K26-N($L26))</f>
        <v/>
      </c>
      <c r="N26" s="113">
        <f>IF($D26="","",IFERROR(INDEX(INVENTARIO!$L$7:$L$26,MATCH($D26,INVENTARIO!$B$7:$B$26,0))*1,0))</f>
        <v/>
      </c>
      <c r="O26" s="112">
        <f>IF($D26="","",N($F26)*$N26)</f>
        <v/>
      </c>
      <c r="P26" s="114">
        <f>IF($D26="","",$M26-$O26)</f>
        <v/>
      </c>
      <c r="Q26" s="115">
        <f>IF($D26="","",IF($I26&gt;0,$P26/$I26,""))</f>
        <v/>
      </c>
      <c r="R26" s="127" t="n"/>
    </row>
    <row r="27">
      <c r="B27" s="130" t="n"/>
      <c r="C27" s="100" t="n"/>
      <c r="D27" s="100" t="n"/>
      <c r="E27" s="96">
        <f>IF($D27="","",IFERROR(INDEX(INVENTARIO!$C$7:$C$26,MATCH($D27,INVENTARIO!$B$7:$B$26,0)),"⚠ ID no existe"))</f>
        <v/>
      </c>
      <c r="F27" s="128" t="n"/>
      <c r="G27" s="129" t="n"/>
      <c r="H27" s="112">
        <f>IF($D27="","",IF($G27="",IFERROR(INDEX(INVENTARIO!$N$7:$N$26,MATCH($D27,INVENTARIO!$B$7:$B$26,0)),""),$G27))</f>
        <v/>
      </c>
      <c r="I27" s="114">
        <f>IF($D27="","",N($F27)*IF(ISNUMBER($H27),$H27,0))</f>
        <v/>
      </c>
      <c r="J27" s="115">
        <f>IF($D27="","",IFERROR(IF(INDEX(INVENTARIO!$O$7:$O$26,MATCH($D27,INVENTARIO!$B$7:$B$26,0))="",CFG_WALMART,INDEX(INVENTARIO!$O$7:$O$26,MATCH($D27,INVENTARIO!$B$7:$B$26,0))),CFG_WALMART))</f>
        <v/>
      </c>
      <c r="K27" s="112">
        <f>IF($D27="","",$I27*$J27)</f>
        <v/>
      </c>
      <c r="L27" s="129" t="n"/>
      <c r="M27" s="114">
        <f>IF($D27="","",$I27-$K27-N($L27))</f>
        <v/>
      </c>
      <c r="N27" s="113">
        <f>IF($D27="","",IFERROR(INDEX(INVENTARIO!$L$7:$L$26,MATCH($D27,INVENTARIO!$B$7:$B$26,0))*1,0))</f>
        <v/>
      </c>
      <c r="O27" s="112">
        <f>IF($D27="","",N($F27)*$N27)</f>
        <v/>
      </c>
      <c r="P27" s="114">
        <f>IF($D27="","",$M27-$O27)</f>
        <v/>
      </c>
      <c r="Q27" s="115">
        <f>IF($D27="","",IF($I27&gt;0,$P27/$I27,""))</f>
        <v/>
      </c>
      <c r="R27" s="127" t="n"/>
    </row>
    <row r="28">
      <c r="B28" s="130" t="n"/>
      <c r="C28" s="100" t="n"/>
      <c r="D28" s="100" t="n"/>
      <c r="E28" s="96">
        <f>IF($D28="","",IFERROR(INDEX(INVENTARIO!$C$7:$C$26,MATCH($D28,INVENTARIO!$B$7:$B$26,0)),"⚠ ID no existe"))</f>
        <v/>
      </c>
      <c r="F28" s="128" t="n"/>
      <c r="G28" s="129" t="n"/>
      <c r="H28" s="112">
        <f>IF($D28="","",IF($G28="",IFERROR(INDEX(INVENTARIO!$N$7:$N$26,MATCH($D28,INVENTARIO!$B$7:$B$26,0)),""),$G28))</f>
        <v/>
      </c>
      <c r="I28" s="114">
        <f>IF($D28="","",N($F28)*IF(ISNUMBER($H28),$H28,0))</f>
        <v/>
      </c>
      <c r="J28" s="115">
        <f>IF($D28="","",IFERROR(IF(INDEX(INVENTARIO!$O$7:$O$26,MATCH($D28,INVENTARIO!$B$7:$B$26,0))="",CFG_WALMART,INDEX(INVENTARIO!$O$7:$O$26,MATCH($D28,INVENTARIO!$B$7:$B$26,0))),CFG_WALMART))</f>
        <v/>
      </c>
      <c r="K28" s="112">
        <f>IF($D28="","",$I28*$J28)</f>
        <v/>
      </c>
      <c r="L28" s="129" t="n"/>
      <c r="M28" s="114">
        <f>IF($D28="","",$I28-$K28-N($L28))</f>
        <v/>
      </c>
      <c r="N28" s="113">
        <f>IF($D28="","",IFERROR(INDEX(INVENTARIO!$L$7:$L$26,MATCH($D28,INVENTARIO!$B$7:$B$26,0))*1,0))</f>
        <v/>
      </c>
      <c r="O28" s="112">
        <f>IF($D28="","",N($F28)*$N28)</f>
        <v/>
      </c>
      <c r="P28" s="114">
        <f>IF($D28="","",$M28-$O28)</f>
        <v/>
      </c>
      <c r="Q28" s="115">
        <f>IF($D28="","",IF($I28&gt;0,$P28/$I28,""))</f>
        <v/>
      </c>
      <c r="R28" s="127" t="n"/>
    </row>
    <row r="29">
      <c r="B29" s="130" t="n"/>
      <c r="C29" s="100" t="n"/>
      <c r="D29" s="100" t="n"/>
      <c r="E29" s="96">
        <f>IF($D29="","",IFERROR(INDEX(INVENTARIO!$C$7:$C$26,MATCH($D29,INVENTARIO!$B$7:$B$26,0)),"⚠ ID no existe"))</f>
        <v/>
      </c>
      <c r="F29" s="128" t="n"/>
      <c r="G29" s="129" t="n"/>
      <c r="H29" s="112">
        <f>IF($D29="","",IF($G29="",IFERROR(INDEX(INVENTARIO!$N$7:$N$26,MATCH($D29,INVENTARIO!$B$7:$B$26,0)),""),$G29))</f>
        <v/>
      </c>
      <c r="I29" s="114">
        <f>IF($D29="","",N($F29)*IF(ISNUMBER($H29),$H29,0))</f>
        <v/>
      </c>
      <c r="J29" s="115">
        <f>IF($D29="","",IFERROR(IF(INDEX(INVENTARIO!$O$7:$O$26,MATCH($D29,INVENTARIO!$B$7:$B$26,0))="",CFG_WALMART,INDEX(INVENTARIO!$O$7:$O$26,MATCH($D29,INVENTARIO!$B$7:$B$26,0))),CFG_WALMART))</f>
        <v/>
      </c>
      <c r="K29" s="112">
        <f>IF($D29="","",$I29*$J29)</f>
        <v/>
      </c>
      <c r="L29" s="129" t="n"/>
      <c r="M29" s="114">
        <f>IF($D29="","",$I29-$K29-N($L29))</f>
        <v/>
      </c>
      <c r="N29" s="113">
        <f>IF($D29="","",IFERROR(INDEX(INVENTARIO!$L$7:$L$26,MATCH($D29,INVENTARIO!$B$7:$B$26,0))*1,0))</f>
        <v/>
      </c>
      <c r="O29" s="112">
        <f>IF($D29="","",N($F29)*$N29)</f>
        <v/>
      </c>
      <c r="P29" s="114">
        <f>IF($D29="","",$M29-$O29)</f>
        <v/>
      </c>
      <c r="Q29" s="115">
        <f>IF($D29="","",IF($I29&gt;0,$P29/$I29,""))</f>
        <v/>
      </c>
      <c r="R29" s="127" t="n"/>
    </row>
    <row r="30">
      <c r="B30" s="130" t="n"/>
      <c r="C30" s="100" t="n"/>
      <c r="D30" s="100" t="n"/>
      <c r="E30" s="96">
        <f>IF($D30="","",IFERROR(INDEX(INVENTARIO!$C$7:$C$26,MATCH($D30,INVENTARIO!$B$7:$B$26,0)),"⚠ ID no existe"))</f>
        <v/>
      </c>
      <c r="F30" s="128" t="n"/>
      <c r="G30" s="129" t="n"/>
      <c r="H30" s="112">
        <f>IF($D30="","",IF($G30="",IFERROR(INDEX(INVENTARIO!$N$7:$N$26,MATCH($D30,INVENTARIO!$B$7:$B$26,0)),""),$G30))</f>
        <v/>
      </c>
      <c r="I30" s="114">
        <f>IF($D30="","",N($F30)*IF(ISNUMBER($H30),$H30,0))</f>
        <v/>
      </c>
      <c r="J30" s="115">
        <f>IF($D30="","",IFERROR(IF(INDEX(INVENTARIO!$O$7:$O$26,MATCH($D30,INVENTARIO!$B$7:$B$26,0))="",CFG_WALMART,INDEX(INVENTARIO!$O$7:$O$26,MATCH($D30,INVENTARIO!$B$7:$B$26,0))),CFG_WALMART))</f>
        <v/>
      </c>
      <c r="K30" s="112">
        <f>IF($D30="","",$I30*$J30)</f>
        <v/>
      </c>
      <c r="L30" s="129" t="n"/>
      <c r="M30" s="114">
        <f>IF($D30="","",$I30-$K30-N($L30))</f>
        <v/>
      </c>
      <c r="N30" s="113">
        <f>IF($D30="","",IFERROR(INDEX(INVENTARIO!$L$7:$L$26,MATCH($D30,INVENTARIO!$B$7:$B$26,0))*1,0))</f>
        <v/>
      </c>
      <c r="O30" s="112">
        <f>IF($D30="","",N($F30)*$N30)</f>
        <v/>
      </c>
      <c r="P30" s="114">
        <f>IF($D30="","",$M30-$O30)</f>
        <v/>
      </c>
      <c r="Q30" s="115">
        <f>IF($D30="","",IF($I30&gt;0,$P30/$I30,""))</f>
        <v/>
      </c>
      <c r="R30" s="127" t="n"/>
    </row>
    <row r="31">
      <c r="B31" s="130" t="n"/>
      <c r="C31" s="100" t="n"/>
      <c r="D31" s="100" t="n"/>
      <c r="E31" s="96">
        <f>IF($D31="","",IFERROR(INDEX(INVENTARIO!$C$7:$C$26,MATCH($D31,INVENTARIO!$B$7:$B$26,0)),"⚠ ID no existe"))</f>
        <v/>
      </c>
      <c r="F31" s="128" t="n"/>
      <c r="G31" s="129" t="n"/>
      <c r="H31" s="112">
        <f>IF($D31="","",IF($G31="",IFERROR(INDEX(INVENTARIO!$N$7:$N$26,MATCH($D31,INVENTARIO!$B$7:$B$26,0)),""),$G31))</f>
        <v/>
      </c>
      <c r="I31" s="114">
        <f>IF($D31="","",N($F31)*IF(ISNUMBER($H31),$H31,0))</f>
        <v/>
      </c>
      <c r="J31" s="115">
        <f>IF($D31="","",IFERROR(IF(INDEX(INVENTARIO!$O$7:$O$26,MATCH($D31,INVENTARIO!$B$7:$B$26,0))="",CFG_WALMART,INDEX(INVENTARIO!$O$7:$O$26,MATCH($D31,INVENTARIO!$B$7:$B$26,0))),CFG_WALMART))</f>
        <v/>
      </c>
      <c r="K31" s="112">
        <f>IF($D31="","",$I31*$J31)</f>
        <v/>
      </c>
      <c r="L31" s="129" t="n"/>
      <c r="M31" s="114">
        <f>IF($D31="","",$I31-$K31-N($L31))</f>
        <v/>
      </c>
      <c r="N31" s="113">
        <f>IF($D31="","",IFERROR(INDEX(INVENTARIO!$L$7:$L$26,MATCH($D31,INVENTARIO!$B$7:$B$26,0))*1,0))</f>
        <v/>
      </c>
      <c r="O31" s="112">
        <f>IF($D31="","",N($F31)*$N31)</f>
        <v/>
      </c>
      <c r="P31" s="114">
        <f>IF($D31="","",$M31-$O31)</f>
        <v/>
      </c>
      <c r="Q31" s="115">
        <f>IF($D31="","",IF($I31&gt;0,$P31/$I31,""))</f>
        <v/>
      </c>
      <c r="R31" s="127" t="n"/>
    </row>
    <row r="32">
      <c r="B32" s="130" t="n"/>
      <c r="C32" s="100" t="n"/>
      <c r="D32" s="100" t="n"/>
      <c r="E32" s="96">
        <f>IF($D32="","",IFERROR(INDEX(INVENTARIO!$C$7:$C$26,MATCH($D32,INVENTARIO!$B$7:$B$26,0)),"⚠ ID no existe"))</f>
        <v/>
      </c>
      <c r="F32" s="128" t="n"/>
      <c r="G32" s="129" t="n"/>
      <c r="H32" s="112">
        <f>IF($D32="","",IF($G32="",IFERROR(INDEX(INVENTARIO!$N$7:$N$26,MATCH($D32,INVENTARIO!$B$7:$B$26,0)),""),$G32))</f>
        <v/>
      </c>
      <c r="I32" s="114">
        <f>IF($D32="","",N($F32)*IF(ISNUMBER($H32),$H32,0))</f>
        <v/>
      </c>
      <c r="J32" s="115">
        <f>IF($D32="","",IFERROR(IF(INDEX(INVENTARIO!$O$7:$O$26,MATCH($D32,INVENTARIO!$B$7:$B$26,0))="",CFG_WALMART,INDEX(INVENTARIO!$O$7:$O$26,MATCH($D32,INVENTARIO!$B$7:$B$26,0))),CFG_WALMART))</f>
        <v/>
      </c>
      <c r="K32" s="112">
        <f>IF($D32="","",$I32*$J32)</f>
        <v/>
      </c>
      <c r="L32" s="129" t="n"/>
      <c r="M32" s="114">
        <f>IF($D32="","",$I32-$K32-N($L32))</f>
        <v/>
      </c>
      <c r="N32" s="113">
        <f>IF($D32="","",IFERROR(INDEX(INVENTARIO!$L$7:$L$26,MATCH($D32,INVENTARIO!$B$7:$B$26,0))*1,0))</f>
        <v/>
      </c>
      <c r="O32" s="112">
        <f>IF($D32="","",N($F32)*$N32)</f>
        <v/>
      </c>
      <c r="P32" s="114">
        <f>IF($D32="","",$M32-$O32)</f>
        <v/>
      </c>
      <c r="Q32" s="115">
        <f>IF($D32="","",IF($I32&gt;0,$P32/$I32,""))</f>
        <v/>
      </c>
      <c r="R32" s="127" t="n"/>
    </row>
    <row r="33">
      <c r="B33" s="130" t="n"/>
      <c r="C33" s="100" t="n"/>
      <c r="D33" s="100" t="n"/>
      <c r="E33" s="96">
        <f>IF($D33="","",IFERROR(INDEX(INVENTARIO!$C$7:$C$26,MATCH($D33,INVENTARIO!$B$7:$B$26,0)),"⚠ ID no existe"))</f>
        <v/>
      </c>
      <c r="F33" s="128" t="n"/>
      <c r="G33" s="129" t="n"/>
      <c r="H33" s="112">
        <f>IF($D33="","",IF($G33="",IFERROR(INDEX(INVENTARIO!$N$7:$N$26,MATCH($D33,INVENTARIO!$B$7:$B$26,0)),""),$G33))</f>
        <v/>
      </c>
      <c r="I33" s="114">
        <f>IF($D33="","",N($F33)*IF(ISNUMBER($H33),$H33,0))</f>
        <v/>
      </c>
      <c r="J33" s="115">
        <f>IF($D33="","",IFERROR(IF(INDEX(INVENTARIO!$O$7:$O$26,MATCH($D33,INVENTARIO!$B$7:$B$26,0))="",CFG_WALMART,INDEX(INVENTARIO!$O$7:$O$26,MATCH($D33,INVENTARIO!$B$7:$B$26,0))),CFG_WALMART))</f>
        <v/>
      </c>
      <c r="K33" s="112">
        <f>IF($D33="","",$I33*$J33)</f>
        <v/>
      </c>
      <c r="L33" s="129" t="n"/>
      <c r="M33" s="114">
        <f>IF($D33="","",$I33-$K33-N($L33))</f>
        <v/>
      </c>
      <c r="N33" s="113">
        <f>IF($D33="","",IFERROR(INDEX(INVENTARIO!$L$7:$L$26,MATCH($D33,INVENTARIO!$B$7:$B$26,0))*1,0))</f>
        <v/>
      </c>
      <c r="O33" s="112">
        <f>IF($D33="","",N($F33)*$N33)</f>
        <v/>
      </c>
      <c r="P33" s="114">
        <f>IF($D33="","",$M33-$O33)</f>
        <v/>
      </c>
      <c r="Q33" s="115">
        <f>IF($D33="","",IF($I33&gt;0,$P33/$I33,""))</f>
        <v/>
      </c>
      <c r="R33" s="127" t="n"/>
    </row>
    <row r="34">
      <c r="B34" s="130" t="n"/>
      <c r="C34" s="100" t="n"/>
      <c r="D34" s="100" t="n"/>
      <c r="E34" s="96">
        <f>IF($D34="","",IFERROR(INDEX(INVENTARIO!$C$7:$C$26,MATCH($D34,INVENTARIO!$B$7:$B$26,0)),"⚠ ID no existe"))</f>
        <v/>
      </c>
      <c r="F34" s="128" t="n"/>
      <c r="G34" s="129" t="n"/>
      <c r="H34" s="112">
        <f>IF($D34="","",IF($G34="",IFERROR(INDEX(INVENTARIO!$N$7:$N$26,MATCH($D34,INVENTARIO!$B$7:$B$26,0)),""),$G34))</f>
        <v/>
      </c>
      <c r="I34" s="114">
        <f>IF($D34="","",N($F34)*IF(ISNUMBER($H34),$H34,0))</f>
        <v/>
      </c>
      <c r="J34" s="115">
        <f>IF($D34="","",IFERROR(IF(INDEX(INVENTARIO!$O$7:$O$26,MATCH($D34,INVENTARIO!$B$7:$B$26,0))="",CFG_WALMART,INDEX(INVENTARIO!$O$7:$O$26,MATCH($D34,INVENTARIO!$B$7:$B$26,0))),CFG_WALMART))</f>
        <v/>
      </c>
      <c r="K34" s="112">
        <f>IF($D34="","",$I34*$J34)</f>
        <v/>
      </c>
      <c r="L34" s="129" t="n"/>
      <c r="M34" s="114">
        <f>IF($D34="","",$I34-$K34-N($L34))</f>
        <v/>
      </c>
      <c r="N34" s="113">
        <f>IF($D34="","",IFERROR(INDEX(INVENTARIO!$L$7:$L$26,MATCH($D34,INVENTARIO!$B$7:$B$26,0))*1,0))</f>
        <v/>
      </c>
      <c r="O34" s="112">
        <f>IF($D34="","",N($F34)*$N34)</f>
        <v/>
      </c>
      <c r="P34" s="114">
        <f>IF($D34="","",$M34-$O34)</f>
        <v/>
      </c>
      <c r="Q34" s="115">
        <f>IF($D34="","",IF($I34&gt;0,$P34/$I34,""))</f>
        <v/>
      </c>
      <c r="R34" s="127" t="n"/>
    </row>
    <row r="35">
      <c r="B35" s="130" t="n"/>
      <c r="C35" s="100" t="n"/>
      <c r="D35" s="100" t="n"/>
      <c r="E35" s="96">
        <f>IF($D35="","",IFERROR(INDEX(INVENTARIO!$C$7:$C$26,MATCH($D35,INVENTARIO!$B$7:$B$26,0)),"⚠ ID no existe"))</f>
        <v/>
      </c>
      <c r="F35" s="128" t="n"/>
      <c r="G35" s="129" t="n"/>
      <c r="H35" s="112">
        <f>IF($D35="","",IF($G35="",IFERROR(INDEX(INVENTARIO!$N$7:$N$26,MATCH($D35,INVENTARIO!$B$7:$B$26,0)),""),$G35))</f>
        <v/>
      </c>
      <c r="I35" s="114">
        <f>IF($D35="","",N($F35)*IF(ISNUMBER($H35),$H35,0))</f>
        <v/>
      </c>
      <c r="J35" s="115">
        <f>IF($D35="","",IFERROR(IF(INDEX(INVENTARIO!$O$7:$O$26,MATCH($D35,INVENTARIO!$B$7:$B$26,0))="",CFG_WALMART,INDEX(INVENTARIO!$O$7:$O$26,MATCH($D35,INVENTARIO!$B$7:$B$26,0))),CFG_WALMART))</f>
        <v/>
      </c>
      <c r="K35" s="112">
        <f>IF($D35="","",$I35*$J35)</f>
        <v/>
      </c>
      <c r="L35" s="129" t="n"/>
      <c r="M35" s="114">
        <f>IF($D35="","",$I35-$K35-N($L35))</f>
        <v/>
      </c>
      <c r="N35" s="113">
        <f>IF($D35="","",IFERROR(INDEX(INVENTARIO!$L$7:$L$26,MATCH($D35,INVENTARIO!$B$7:$B$26,0))*1,0))</f>
        <v/>
      </c>
      <c r="O35" s="112">
        <f>IF($D35="","",N($F35)*$N35)</f>
        <v/>
      </c>
      <c r="P35" s="114">
        <f>IF($D35="","",$M35-$O35)</f>
        <v/>
      </c>
      <c r="Q35" s="115">
        <f>IF($D35="","",IF($I35&gt;0,$P35/$I35,""))</f>
        <v/>
      </c>
      <c r="R35" s="127" t="n"/>
    </row>
    <row r="36">
      <c r="B36" s="130" t="n"/>
      <c r="C36" s="100" t="n"/>
      <c r="D36" s="100" t="n"/>
      <c r="E36" s="96">
        <f>IF($D36="","",IFERROR(INDEX(INVENTARIO!$C$7:$C$26,MATCH($D36,INVENTARIO!$B$7:$B$26,0)),"⚠ ID no existe"))</f>
        <v/>
      </c>
      <c r="F36" s="128" t="n"/>
      <c r="G36" s="129" t="n"/>
      <c r="H36" s="112">
        <f>IF($D36="","",IF($G36="",IFERROR(INDEX(INVENTARIO!$N$7:$N$26,MATCH($D36,INVENTARIO!$B$7:$B$26,0)),""),$G36))</f>
        <v/>
      </c>
      <c r="I36" s="114">
        <f>IF($D36="","",N($F36)*IF(ISNUMBER($H36),$H36,0))</f>
        <v/>
      </c>
      <c r="J36" s="115">
        <f>IF($D36="","",IFERROR(IF(INDEX(INVENTARIO!$O$7:$O$26,MATCH($D36,INVENTARIO!$B$7:$B$26,0))="",CFG_WALMART,INDEX(INVENTARIO!$O$7:$O$26,MATCH($D36,INVENTARIO!$B$7:$B$26,0))),CFG_WALMART))</f>
        <v/>
      </c>
      <c r="K36" s="112">
        <f>IF($D36="","",$I36*$J36)</f>
        <v/>
      </c>
      <c r="L36" s="129" t="n"/>
      <c r="M36" s="114">
        <f>IF($D36="","",$I36-$K36-N($L36))</f>
        <v/>
      </c>
      <c r="N36" s="113">
        <f>IF($D36="","",IFERROR(INDEX(INVENTARIO!$L$7:$L$26,MATCH($D36,INVENTARIO!$B$7:$B$26,0))*1,0))</f>
        <v/>
      </c>
      <c r="O36" s="112">
        <f>IF($D36="","",N($F36)*$N36)</f>
        <v/>
      </c>
      <c r="P36" s="114">
        <f>IF($D36="","",$M36-$O36)</f>
        <v/>
      </c>
      <c r="Q36" s="115">
        <f>IF($D36="","",IF($I36&gt;0,$P36/$I36,""))</f>
        <v/>
      </c>
      <c r="R36" s="127" t="n"/>
    </row>
    <row r="37">
      <c r="B37" s="130" t="n"/>
      <c r="C37" s="100" t="n"/>
      <c r="D37" s="100" t="n"/>
      <c r="E37" s="96">
        <f>IF($D37="","",IFERROR(INDEX(INVENTARIO!$C$7:$C$26,MATCH($D37,INVENTARIO!$B$7:$B$26,0)),"⚠ ID no existe"))</f>
        <v/>
      </c>
      <c r="F37" s="128" t="n"/>
      <c r="G37" s="129" t="n"/>
      <c r="H37" s="112">
        <f>IF($D37="","",IF($G37="",IFERROR(INDEX(INVENTARIO!$N$7:$N$26,MATCH($D37,INVENTARIO!$B$7:$B$26,0)),""),$G37))</f>
        <v/>
      </c>
      <c r="I37" s="114">
        <f>IF($D37="","",N($F37)*IF(ISNUMBER($H37),$H37,0))</f>
        <v/>
      </c>
      <c r="J37" s="115">
        <f>IF($D37="","",IFERROR(IF(INDEX(INVENTARIO!$O$7:$O$26,MATCH($D37,INVENTARIO!$B$7:$B$26,0))="",CFG_WALMART,INDEX(INVENTARIO!$O$7:$O$26,MATCH($D37,INVENTARIO!$B$7:$B$26,0))),CFG_WALMART))</f>
        <v/>
      </c>
      <c r="K37" s="112">
        <f>IF($D37="","",$I37*$J37)</f>
        <v/>
      </c>
      <c r="L37" s="129" t="n"/>
      <c r="M37" s="114">
        <f>IF($D37="","",$I37-$K37-N($L37))</f>
        <v/>
      </c>
      <c r="N37" s="113">
        <f>IF($D37="","",IFERROR(INDEX(INVENTARIO!$L$7:$L$26,MATCH($D37,INVENTARIO!$B$7:$B$26,0))*1,0))</f>
        <v/>
      </c>
      <c r="O37" s="112">
        <f>IF($D37="","",N($F37)*$N37)</f>
        <v/>
      </c>
      <c r="P37" s="114">
        <f>IF($D37="","",$M37-$O37)</f>
        <v/>
      </c>
      <c r="Q37" s="115">
        <f>IF($D37="","",IF($I37&gt;0,$P37/$I37,""))</f>
        <v/>
      </c>
      <c r="R37" s="127" t="n"/>
    </row>
    <row r="38">
      <c r="B38" s="130" t="n"/>
      <c r="C38" s="100" t="n"/>
      <c r="D38" s="100" t="n"/>
      <c r="E38" s="96">
        <f>IF($D38="","",IFERROR(INDEX(INVENTARIO!$C$7:$C$26,MATCH($D38,INVENTARIO!$B$7:$B$26,0)),"⚠ ID no existe"))</f>
        <v/>
      </c>
      <c r="F38" s="128" t="n"/>
      <c r="G38" s="129" t="n"/>
      <c r="H38" s="112">
        <f>IF($D38="","",IF($G38="",IFERROR(INDEX(INVENTARIO!$N$7:$N$26,MATCH($D38,INVENTARIO!$B$7:$B$26,0)),""),$G38))</f>
        <v/>
      </c>
      <c r="I38" s="114">
        <f>IF($D38="","",N($F38)*IF(ISNUMBER($H38),$H38,0))</f>
        <v/>
      </c>
      <c r="J38" s="115">
        <f>IF($D38="","",IFERROR(IF(INDEX(INVENTARIO!$O$7:$O$26,MATCH($D38,INVENTARIO!$B$7:$B$26,0))="",CFG_WALMART,INDEX(INVENTARIO!$O$7:$O$26,MATCH($D38,INVENTARIO!$B$7:$B$26,0))),CFG_WALMART))</f>
        <v/>
      </c>
      <c r="K38" s="112">
        <f>IF($D38="","",$I38*$J38)</f>
        <v/>
      </c>
      <c r="L38" s="129" t="n"/>
      <c r="M38" s="114">
        <f>IF($D38="","",$I38-$K38-N($L38))</f>
        <v/>
      </c>
      <c r="N38" s="113">
        <f>IF($D38="","",IFERROR(INDEX(INVENTARIO!$L$7:$L$26,MATCH($D38,INVENTARIO!$B$7:$B$26,0))*1,0))</f>
        <v/>
      </c>
      <c r="O38" s="112">
        <f>IF($D38="","",N($F38)*$N38)</f>
        <v/>
      </c>
      <c r="P38" s="114">
        <f>IF($D38="","",$M38-$O38)</f>
        <v/>
      </c>
      <c r="Q38" s="115">
        <f>IF($D38="","",IF($I38&gt;0,$P38/$I38,""))</f>
        <v/>
      </c>
      <c r="R38" s="127" t="n"/>
    </row>
    <row r="39">
      <c r="B39" s="130" t="n"/>
      <c r="C39" s="100" t="n"/>
      <c r="D39" s="100" t="n"/>
      <c r="E39" s="96">
        <f>IF($D39="","",IFERROR(INDEX(INVENTARIO!$C$7:$C$26,MATCH($D39,INVENTARIO!$B$7:$B$26,0)),"⚠ ID no existe"))</f>
        <v/>
      </c>
      <c r="F39" s="128" t="n"/>
      <c r="G39" s="129" t="n"/>
      <c r="H39" s="112">
        <f>IF($D39="","",IF($G39="",IFERROR(INDEX(INVENTARIO!$N$7:$N$26,MATCH($D39,INVENTARIO!$B$7:$B$26,0)),""),$G39))</f>
        <v/>
      </c>
      <c r="I39" s="114">
        <f>IF($D39="","",N($F39)*IF(ISNUMBER($H39),$H39,0))</f>
        <v/>
      </c>
      <c r="J39" s="115">
        <f>IF($D39="","",IFERROR(IF(INDEX(INVENTARIO!$O$7:$O$26,MATCH($D39,INVENTARIO!$B$7:$B$26,0))="",CFG_WALMART,INDEX(INVENTARIO!$O$7:$O$26,MATCH($D39,INVENTARIO!$B$7:$B$26,0))),CFG_WALMART))</f>
        <v/>
      </c>
      <c r="K39" s="112">
        <f>IF($D39="","",$I39*$J39)</f>
        <v/>
      </c>
      <c r="L39" s="129" t="n"/>
      <c r="M39" s="114">
        <f>IF($D39="","",$I39-$K39-N($L39))</f>
        <v/>
      </c>
      <c r="N39" s="113">
        <f>IF($D39="","",IFERROR(INDEX(INVENTARIO!$L$7:$L$26,MATCH($D39,INVENTARIO!$B$7:$B$26,0))*1,0))</f>
        <v/>
      </c>
      <c r="O39" s="112">
        <f>IF($D39="","",N($F39)*$N39)</f>
        <v/>
      </c>
      <c r="P39" s="114">
        <f>IF($D39="","",$M39-$O39)</f>
        <v/>
      </c>
      <c r="Q39" s="115">
        <f>IF($D39="","",IF($I39&gt;0,$P39/$I39,""))</f>
        <v/>
      </c>
      <c r="R39" s="127" t="n"/>
    </row>
    <row r="40">
      <c r="B40" s="130" t="n"/>
      <c r="C40" s="100" t="n"/>
      <c r="D40" s="100" t="n"/>
      <c r="E40" s="96">
        <f>IF($D40="","",IFERROR(INDEX(INVENTARIO!$C$7:$C$26,MATCH($D40,INVENTARIO!$B$7:$B$26,0)),"⚠ ID no existe"))</f>
        <v/>
      </c>
      <c r="F40" s="128" t="n"/>
      <c r="G40" s="129" t="n"/>
      <c r="H40" s="112">
        <f>IF($D40="","",IF($G40="",IFERROR(INDEX(INVENTARIO!$N$7:$N$26,MATCH($D40,INVENTARIO!$B$7:$B$26,0)),""),$G40))</f>
        <v/>
      </c>
      <c r="I40" s="114">
        <f>IF($D40="","",N($F40)*IF(ISNUMBER($H40),$H40,0))</f>
        <v/>
      </c>
      <c r="J40" s="115">
        <f>IF($D40="","",IFERROR(IF(INDEX(INVENTARIO!$O$7:$O$26,MATCH($D40,INVENTARIO!$B$7:$B$26,0))="",CFG_WALMART,INDEX(INVENTARIO!$O$7:$O$26,MATCH($D40,INVENTARIO!$B$7:$B$26,0))),CFG_WALMART))</f>
        <v/>
      </c>
      <c r="K40" s="112">
        <f>IF($D40="","",$I40*$J40)</f>
        <v/>
      </c>
      <c r="L40" s="129" t="n"/>
      <c r="M40" s="114">
        <f>IF($D40="","",$I40-$K40-N($L40))</f>
        <v/>
      </c>
      <c r="N40" s="113">
        <f>IF($D40="","",IFERROR(INDEX(INVENTARIO!$L$7:$L$26,MATCH($D40,INVENTARIO!$B$7:$B$26,0))*1,0))</f>
        <v/>
      </c>
      <c r="O40" s="112">
        <f>IF($D40="","",N($F40)*$N40)</f>
        <v/>
      </c>
      <c r="P40" s="114">
        <f>IF($D40="","",$M40-$O40)</f>
        <v/>
      </c>
      <c r="Q40" s="115">
        <f>IF($D40="","",IF($I40&gt;0,$P40/$I40,""))</f>
        <v/>
      </c>
      <c r="R40" s="127" t="n"/>
    </row>
    <row r="41">
      <c r="B41" s="130" t="n"/>
      <c r="C41" s="100" t="n"/>
      <c r="D41" s="100" t="n"/>
      <c r="E41" s="96">
        <f>IF($D41="","",IFERROR(INDEX(INVENTARIO!$C$7:$C$26,MATCH($D41,INVENTARIO!$B$7:$B$26,0)),"⚠ ID no existe"))</f>
        <v/>
      </c>
      <c r="F41" s="128" t="n"/>
      <c r="G41" s="129" t="n"/>
      <c r="H41" s="112">
        <f>IF($D41="","",IF($G41="",IFERROR(INDEX(INVENTARIO!$N$7:$N$26,MATCH($D41,INVENTARIO!$B$7:$B$26,0)),""),$G41))</f>
        <v/>
      </c>
      <c r="I41" s="114">
        <f>IF($D41="","",N($F41)*IF(ISNUMBER($H41),$H41,0))</f>
        <v/>
      </c>
      <c r="J41" s="115">
        <f>IF($D41="","",IFERROR(IF(INDEX(INVENTARIO!$O$7:$O$26,MATCH($D41,INVENTARIO!$B$7:$B$26,0))="",CFG_WALMART,INDEX(INVENTARIO!$O$7:$O$26,MATCH($D41,INVENTARIO!$B$7:$B$26,0))),CFG_WALMART))</f>
        <v/>
      </c>
      <c r="K41" s="112">
        <f>IF($D41="","",$I41*$J41)</f>
        <v/>
      </c>
      <c r="L41" s="129" t="n"/>
      <c r="M41" s="114">
        <f>IF($D41="","",$I41-$K41-N($L41))</f>
        <v/>
      </c>
      <c r="N41" s="113">
        <f>IF($D41="","",IFERROR(INDEX(INVENTARIO!$L$7:$L$26,MATCH($D41,INVENTARIO!$B$7:$B$26,0))*1,0))</f>
        <v/>
      </c>
      <c r="O41" s="112">
        <f>IF($D41="","",N($F41)*$N41)</f>
        <v/>
      </c>
      <c r="P41" s="114">
        <f>IF($D41="","",$M41-$O41)</f>
        <v/>
      </c>
      <c r="Q41" s="115">
        <f>IF($D41="","",IF($I41&gt;0,$P41/$I41,""))</f>
        <v/>
      </c>
      <c r="R41" s="127" t="n"/>
    </row>
    <row r="42">
      <c r="B42" s="130" t="n"/>
      <c r="C42" s="100" t="n"/>
      <c r="D42" s="100" t="n"/>
      <c r="E42" s="96">
        <f>IF($D42="","",IFERROR(INDEX(INVENTARIO!$C$7:$C$26,MATCH($D42,INVENTARIO!$B$7:$B$26,0)),"⚠ ID no existe"))</f>
        <v/>
      </c>
      <c r="F42" s="128" t="n"/>
      <c r="G42" s="129" t="n"/>
      <c r="H42" s="112">
        <f>IF($D42="","",IF($G42="",IFERROR(INDEX(INVENTARIO!$N$7:$N$26,MATCH($D42,INVENTARIO!$B$7:$B$26,0)),""),$G42))</f>
        <v/>
      </c>
      <c r="I42" s="114">
        <f>IF($D42="","",N($F42)*IF(ISNUMBER($H42),$H42,0))</f>
        <v/>
      </c>
      <c r="J42" s="115">
        <f>IF($D42="","",IFERROR(IF(INDEX(INVENTARIO!$O$7:$O$26,MATCH($D42,INVENTARIO!$B$7:$B$26,0))="",CFG_WALMART,INDEX(INVENTARIO!$O$7:$O$26,MATCH($D42,INVENTARIO!$B$7:$B$26,0))),CFG_WALMART))</f>
        <v/>
      </c>
      <c r="K42" s="112">
        <f>IF($D42="","",$I42*$J42)</f>
        <v/>
      </c>
      <c r="L42" s="129" t="n"/>
      <c r="M42" s="114">
        <f>IF($D42="","",$I42-$K42-N($L42))</f>
        <v/>
      </c>
      <c r="N42" s="113">
        <f>IF($D42="","",IFERROR(INDEX(INVENTARIO!$L$7:$L$26,MATCH($D42,INVENTARIO!$B$7:$B$26,0))*1,0))</f>
        <v/>
      </c>
      <c r="O42" s="112">
        <f>IF($D42="","",N($F42)*$N42)</f>
        <v/>
      </c>
      <c r="P42" s="114">
        <f>IF($D42="","",$M42-$O42)</f>
        <v/>
      </c>
      <c r="Q42" s="115">
        <f>IF($D42="","",IF($I42&gt;0,$P42/$I42,""))</f>
        <v/>
      </c>
      <c r="R42" s="127" t="n"/>
    </row>
    <row r="43">
      <c r="B43" s="130" t="n"/>
      <c r="C43" s="100" t="n"/>
      <c r="D43" s="100" t="n"/>
      <c r="E43" s="96">
        <f>IF($D43="","",IFERROR(INDEX(INVENTARIO!$C$7:$C$26,MATCH($D43,INVENTARIO!$B$7:$B$26,0)),"⚠ ID no existe"))</f>
        <v/>
      </c>
      <c r="F43" s="128" t="n"/>
      <c r="G43" s="129" t="n"/>
      <c r="H43" s="112">
        <f>IF($D43="","",IF($G43="",IFERROR(INDEX(INVENTARIO!$N$7:$N$26,MATCH($D43,INVENTARIO!$B$7:$B$26,0)),""),$G43))</f>
        <v/>
      </c>
      <c r="I43" s="114">
        <f>IF($D43="","",N($F43)*IF(ISNUMBER($H43),$H43,0))</f>
        <v/>
      </c>
      <c r="J43" s="115">
        <f>IF($D43="","",IFERROR(IF(INDEX(INVENTARIO!$O$7:$O$26,MATCH($D43,INVENTARIO!$B$7:$B$26,0))="",CFG_WALMART,INDEX(INVENTARIO!$O$7:$O$26,MATCH($D43,INVENTARIO!$B$7:$B$26,0))),CFG_WALMART))</f>
        <v/>
      </c>
      <c r="K43" s="112">
        <f>IF($D43="","",$I43*$J43)</f>
        <v/>
      </c>
      <c r="L43" s="129" t="n"/>
      <c r="M43" s="114">
        <f>IF($D43="","",$I43-$K43-N($L43))</f>
        <v/>
      </c>
      <c r="N43" s="113">
        <f>IF($D43="","",IFERROR(INDEX(INVENTARIO!$L$7:$L$26,MATCH($D43,INVENTARIO!$B$7:$B$26,0))*1,0))</f>
        <v/>
      </c>
      <c r="O43" s="112">
        <f>IF($D43="","",N($F43)*$N43)</f>
        <v/>
      </c>
      <c r="P43" s="114">
        <f>IF($D43="","",$M43-$O43)</f>
        <v/>
      </c>
      <c r="Q43" s="115">
        <f>IF($D43="","",IF($I43&gt;0,$P43/$I43,""))</f>
        <v/>
      </c>
      <c r="R43" s="127" t="n"/>
    </row>
    <row r="44">
      <c r="B44" s="130" t="n"/>
      <c r="C44" s="100" t="n"/>
      <c r="D44" s="100" t="n"/>
      <c r="E44" s="96">
        <f>IF($D44="","",IFERROR(INDEX(INVENTARIO!$C$7:$C$26,MATCH($D44,INVENTARIO!$B$7:$B$26,0)),"⚠ ID no existe"))</f>
        <v/>
      </c>
      <c r="F44" s="128" t="n"/>
      <c r="G44" s="129" t="n"/>
      <c r="H44" s="112">
        <f>IF($D44="","",IF($G44="",IFERROR(INDEX(INVENTARIO!$N$7:$N$26,MATCH($D44,INVENTARIO!$B$7:$B$26,0)),""),$G44))</f>
        <v/>
      </c>
      <c r="I44" s="114">
        <f>IF($D44="","",N($F44)*IF(ISNUMBER($H44),$H44,0))</f>
        <v/>
      </c>
      <c r="J44" s="115">
        <f>IF($D44="","",IFERROR(IF(INDEX(INVENTARIO!$O$7:$O$26,MATCH($D44,INVENTARIO!$B$7:$B$26,0))="",CFG_WALMART,INDEX(INVENTARIO!$O$7:$O$26,MATCH($D44,INVENTARIO!$B$7:$B$26,0))),CFG_WALMART))</f>
        <v/>
      </c>
      <c r="K44" s="112">
        <f>IF($D44="","",$I44*$J44)</f>
        <v/>
      </c>
      <c r="L44" s="129" t="n"/>
      <c r="M44" s="114">
        <f>IF($D44="","",$I44-$K44-N($L44))</f>
        <v/>
      </c>
      <c r="N44" s="113">
        <f>IF($D44="","",IFERROR(INDEX(INVENTARIO!$L$7:$L$26,MATCH($D44,INVENTARIO!$B$7:$B$26,0))*1,0))</f>
        <v/>
      </c>
      <c r="O44" s="112">
        <f>IF($D44="","",N($F44)*$N44)</f>
        <v/>
      </c>
      <c r="P44" s="114">
        <f>IF($D44="","",$M44-$O44)</f>
        <v/>
      </c>
      <c r="Q44" s="115">
        <f>IF($D44="","",IF($I44&gt;0,$P44/$I44,""))</f>
        <v/>
      </c>
      <c r="R44" s="127" t="n"/>
    </row>
    <row r="45">
      <c r="B45" s="130" t="n"/>
      <c r="C45" s="100" t="n"/>
      <c r="D45" s="100" t="n"/>
      <c r="E45" s="96">
        <f>IF($D45="","",IFERROR(INDEX(INVENTARIO!$C$7:$C$26,MATCH($D45,INVENTARIO!$B$7:$B$26,0)),"⚠ ID no existe"))</f>
        <v/>
      </c>
      <c r="F45" s="128" t="n"/>
      <c r="G45" s="129" t="n"/>
      <c r="H45" s="112">
        <f>IF($D45="","",IF($G45="",IFERROR(INDEX(INVENTARIO!$N$7:$N$26,MATCH($D45,INVENTARIO!$B$7:$B$26,0)),""),$G45))</f>
        <v/>
      </c>
      <c r="I45" s="114">
        <f>IF($D45="","",N($F45)*IF(ISNUMBER($H45),$H45,0))</f>
        <v/>
      </c>
      <c r="J45" s="115">
        <f>IF($D45="","",IFERROR(IF(INDEX(INVENTARIO!$O$7:$O$26,MATCH($D45,INVENTARIO!$B$7:$B$26,0))="",CFG_WALMART,INDEX(INVENTARIO!$O$7:$O$26,MATCH($D45,INVENTARIO!$B$7:$B$26,0))),CFG_WALMART))</f>
        <v/>
      </c>
      <c r="K45" s="112">
        <f>IF($D45="","",$I45*$J45)</f>
        <v/>
      </c>
      <c r="L45" s="129" t="n"/>
      <c r="M45" s="114">
        <f>IF($D45="","",$I45-$K45-N($L45))</f>
        <v/>
      </c>
      <c r="N45" s="113">
        <f>IF($D45="","",IFERROR(INDEX(INVENTARIO!$L$7:$L$26,MATCH($D45,INVENTARIO!$B$7:$B$26,0))*1,0))</f>
        <v/>
      </c>
      <c r="O45" s="112">
        <f>IF($D45="","",N($F45)*$N45)</f>
        <v/>
      </c>
      <c r="P45" s="114">
        <f>IF($D45="","",$M45-$O45)</f>
        <v/>
      </c>
      <c r="Q45" s="115">
        <f>IF($D45="","",IF($I45&gt;0,$P45/$I45,""))</f>
        <v/>
      </c>
      <c r="R45" s="127" t="n"/>
    </row>
    <row r="46">
      <c r="B46" s="130" t="n"/>
      <c r="C46" s="100" t="n"/>
      <c r="D46" s="100" t="n"/>
      <c r="E46" s="96">
        <f>IF($D46="","",IFERROR(INDEX(INVENTARIO!$C$7:$C$26,MATCH($D46,INVENTARIO!$B$7:$B$26,0)),"⚠ ID no existe"))</f>
        <v/>
      </c>
      <c r="F46" s="128" t="n"/>
      <c r="G46" s="129" t="n"/>
      <c r="H46" s="112">
        <f>IF($D46="","",IF($G46="",IFERROR(INDEX(INVENTARIO!$N$7:$N$26,MATCH($D46,INVENTARIO!$B$7:$B$26,0)),""),$G46))</f>
        <v/>
      </c>
      <c r="I46" s="114">
        <f>IF($D46="","",N($F46)*IF(ISNUMBER($H46),$H46,0))</f>
        <v/>
      </c>
      <c r="J46" s="115">
        <f>IF($D46="","",IFERROR(IF(INDEX(INVENTARIO!$O$7:$O$26,MATCH($D46,INVENTARIO!$B$7:$B$26,0))="",CFG_WALMART,INDEX(INVENTARIO!$O$7:$O$26,MATCH($D46,INVENTARIO!$B$7:$B$26,0))),CFG_WALMART))</f>
        <v/>
      </c>
      <c r="K46" s="112">
        <f>IF($D46="","",$I46*$J46)</f>
        <v/>
      </c>
      <c r="L46" s="129" t="n"/>
      <c r="M46" s="114">
        <f>IF($D46="","",$I46-$K46-N($L46))</f>
        <v/>
      </c>
      <c r="N46" s="113">
        <f>IF($D46="","",IFERROR(INDEX(INVENTARIO!$L$7:$L$26,MATCH($D46,INVENTARIO!$B$7:$B$26,0))*1,0))</f>
        <v/>
      </c>
      <c r="O46" s="112">
        <f>IF($D46="","",N($F46)*$N46)</f>
        <v/>
      </c>
      <c r="P46" s="114">
        <f>IF($D46="","",$M46-$O46)</f>
        <v/>
      </c>
      <c r="Q46" s="115">
        <f>IF($D46="","",IF($I46&gt;0,$P46/$I46,""))</f>
        <v/>
      </c>
      <c r="R46" s="127" t="n"/>
    </row>
    <row r="47">
      <c r="B47" s="130" t="n"/>
      <c r="C47" s="100" t="n"/>
      <c r="D47" s="100" t="n"/>
      <c r="E47" s="96">
        <f>IF($D47="","",IFERROR(INDEX(INVENTARIO!$C$7:$C$26,MATCH($D47,INVENTARIO!$B$7:$B$26,0)),"⚠ ID no existe"))</f>
        <v/>
      </c>
      <c r="F47" s="128" t="n"/>
      <c r="G47" s="129" t="n"/>
      <c r="H47" s="112">
        <f>IF($D47="","",IF($G47="",IFERROR(INDEX(INVENTARIO!$N$7:$N$26,MATCH($D47,INVENTARIO!$B$7:$B$26,0)),""),$G47))</f>
        <v/>
      </c>
      <c r="I47" s="114">
        <f>IF($D47="","",N($F47)*IF(ISNUMBER($H47),$H47,0))</f>
        <v/>
      </c>
      <c r="J47" s="115">
        <f>IF($D47="","",IFERROR(IF(INDEX(INVENTARIO!$O$7:$O$26,MATCH($D47,INVENTARIO!$B$7:$B$26,0))="",CFG_WALMART,INDEX(INVENTARIO!$O$7:$O$26,MATCH($D47,INVENTARIO!$B$7:$B$26,0))),CFG_WALMART))</f>
        <v/>
      </c>
      <c r="K47" s="112">
        <f>IF($D47="","",$I47*$J47)</f>
        <v/>
      </c>
      <c r="L47" s="129" t="n"/>
      <c r="M47" s="114">
        <f>IF($D47="","",$I47-$K47-N($L47))</f>
        <v/>
      </c>
      <c r="N47" s="113">
        <f>IF($D47="","",IFERROR(INDEX(INVENTARIO!$L$7:$L$26,MATCH($D47,INVENTARIO!$B$7:$B$26,0))*1,0))</f>
        <v/>
      </c>
      <c r="O47" s="112">
        <f>IF($D47="","",N($F47)*$N47)</f>
        <v/>
      </c>
      <c r="P47" s="114">
        <f>IF($D47="","",$M47-$O47)</f>
        <v/>
      </c>
      <c r="Q47" s="115">
        <f>IF($D47="","",IF($I47&gt;0,$P47/$I47,""))</f>
        <v/>
      </c>
      <c r="R47" s="127" t="n"/>
    </row>
    <row r="48">
      <c r="B48" s="130" t="n"/>
      <c r="C48" s="100" t="n"/>
      <c r="D48" s="100" t="n"/>
      <c r="E48" s="96">
        <f>IF($D48="","",IFERROR(INDEX(INVENTARIO!$C$7:$C$26,MATCH($D48,INVENTARIO!$B$7:$B$26,0)),"⚠ ID no existe"))</f>
        <v/>
      </c>
      <c r="F48" s="128" t="n"/>
      <c r="G48" s="129" t="n"/>
      <c r="H48" s="112">
        <f>IF($D48="","",IF($G48="",IFERROR(INDEX(INVENTARIO!$N$7:$N$26,MATCH($D48,INVENTARIO!$B$7:$B$26,0)),""),$G48))</f>
        <v/>
      </c>
      <c r="I48" s="114">
        <f>IF($D48="","",N($F48)*IF(ISNUMBER($H48),$H48,0))</f>
        <v/>
      </c>
      <c r="J48" s="115">
        <f>IF($D48="","",IFERROR(IF(INDEX(INVENTARIO!$O$7:$O$26,MATCH($D48,INVENTARIO!$B$7:$B$26,0))="",CFG_WALMART,INDEX(INVENTARIO!$O$7:$O$26,MATCH($D48,INVENTARIO!$B$7:$B$26,0))),CFG_WALMART))</f>
        <v/>
      </c>
      <c r="K48" s="112">
        <f>IF($D48="","",$I48*$J48)</f>
        <v/>
      </c>
      <c r="L48" s="129" t="n"/>
      <c r="M48" s="114">
        <f>IF($D48="","",$I48-$K48-N($L48))</f>
        <v/>
      </c>
      <c r="N48" s="113">
        <f>IF($D48="","",IFERROR(INDEX(INVENTARIO!$L$7:$L$26,MATCH($D48,INVENTARIO!$B$7:$B$26,0))*1,0))</f>
        <v/>
      </c>
      <c r="O48" s="112">
        <f>IF($D48="","",N($F48)*$N48)</f>
        <v/>
      </c>
      <c r="P48" s="114">
        <f>IF($D48="","",$M48-$O48)</f>
        <v/>
      </c>
      <c r="Q48" s="115">
        <f>IF($D48="","",IF($I48&gt;0,$P48/$I48,""))</f>
        <v/>
      </c>
      <c r="R48" s="127" t="n"/>
    </row>
    <row r="49">
      <c r="B49" s="130" t="n"/>
      <c r="C49" s="100" t="n"/>
      <c r="D49" s="100" t="n"/>
      <c r="E49" s="96">
        <f>IF($D49="","",IFERROR(INDEX(INVENTARIO!$C$7:$C$26,MATCH($D49,INVENTARIO!$B$7:$B$26,0)),"⚠ ID no existe"))</f>
        <v/>
      </c>
      <c r="F49" s="128" t="n"/>
      <c r="G49" s="129" t="n"/>
      <c r="H49" s="112">
        <f>IF($D49="","",IF($G49="",IFERROR(INDEX(INVENTARIO!$N$7:$N$26,MATCH($D49,INVENTARIO!$B$7:$B$26,0)),""),$G49))</f>
        <v/>
      </c>
      <c r="I49" s="114">
        <f>IF($D49="","",N($F49)*IF(ISNUMBER($H49),$H49,0))</f>
        <v/>
      </c>
      <c r="J49" s="115">
        <f>IF($D49="","",IFERROR(IF(INDEX(INVENTARIO!$O$7:$O$26,MATCH($D49,INVENTARIO!$B$7:$B$26,0))="",CFG_WALMART,INDEX(INVENTARIO!$O$7:$O$26,MATCH($D49,INVENTARIO!$B$7:$B$26,0))),CFG_WALMART))</f>
        <v/>
      </c>
      <c r="K49" s="112">
        <f>IF($D49="","",$I49*$J49)</f>
        <v/>
      </c>
      <c r="L49" s="129" t="n"/>
      <c r="M49" s="114">
        <f>IF($D49="","",$I49-$K49-N($L49))</f>
        <v/>
      </c>
      <c r="N49" s="113">
        <f>IF($D49="","",IFERROR(INDEX(INVENTARIO!$L$7:$L$26,MATCH($D49,INVENTARIO!$B$7:$B$26,0))*1,0))</f>
        <v/>
      </c>
      <c r="O49" s="112">
        <f>IF($D49="","",N($F49)*$N49)</f>
        <v/>
      </c>
      <c r="P49" s="114">
        <f>IF($D49="","",$M49-$O49)</f>
        <v/>
      </c>
      <c r="Q49" s="115">
        <f>IF($D49="","",IF($I49&gt;0,$P49/$I49,""))</f>
        <v/>
      </c>
      <c r="R49" s="127" t="n"/>
    </row>
    <row r="50">
      <c r="B50" s="130" t="n"/>
      <c r="C50" s="100" t="n"/>
      <c r="D50" s="100" t="n"/>
      <c r="E50" s="96">
        <f>IF($D50="","",IFERROR(INDEX(INVENTARIO!$C$7:$C$26,MATCH($D50,INVENTARIO!$B$7:$B$26,0)),"⚠ ID no existe"))</f>
        <v/>
      </c>
      <c r="F50" s="128" t="n"/>
      <c r="G50" s="129" t="n"/>
      <c r="H50" s="112">
        <f>IF($D50="","",IF($G50="",IFERROR(INDEX(INVENTARIO!$N$7:$N$26,MATCH($D50,INVENTARIO!$B$7:$B$26,0)),""),$G50))</f>
        <v/>
      </c>
      <c r="I50" s="114">
        <f>IF($D50="","",N($F50)*IF(ISNUMBER($H50),$H50,0))</f>
        <v/>
      </c>
      <c r="J50" s="115">
        <f>IF($D50="","",IFERROR(IF(INDEX(INVENTARIO!$O$7:$O$26,MATCH($D50,INVENTARIO!$B$7:$B$26,0))="",CFG_WALMART,INDEX(INVENTARIO!$O$7:$O$26,MATCH($D50,INVENTARIO!$B$7:$B$26,0))),CFG_WALMART))</f>
        <v/>
      </c>
      <c r="K50" s="112">
        <f>IF($D50="","",$I50*$J50)</f>
        <v/>
      </c>
      <c r="L50" s="129" t="n"/>
      <c r="M50" s="114">
        <f>IF($D50="","",$I50-$K50-N($L50))</f>
        <v/>
      </c>
      <c r="N50" s="113">
        <f>IF($D50="","",IFERROR(INDEX(INVENTARIO!$L$7:$L$26,MATCH($D50,INVENTARIO!$B$7:$B$26,0))*1,0))</f>
        <v/>
      </c>
      <c r="O50" s="112">
        <f>IF($D50="","",N($F50)*$N50)</f>
        <v/>
      </c>
      <c r="P50" s="114">
        <f>IF($D50="","",$M50-$O50)</f>
        <v/>
      </c>
      <c r="Q50" s="115">
        <f>IF($D50="","",IF($I50&gt;0,$P50/$I50,""))</f>
        <v/>
      </c>
      <c r="R50" s="127" t="n"/>
    </row>
    <row r="51">
      <c r="B51" s="130" t="n"/>
      <c r="C51" s="100" t="n"/>
      <c r="D51" s="100" t="n"/>
      <c r="E51" s="96">
        <f>IF($D51="","",IFERROR(INDEX(INVENTARIO!$C$7:$C$26,MATCH($D51,INVENTARIO!$B$7:$B$26,0)),"⚠ ID no existe"))</f>
        <v/>
      </c>
      <c r="F51" s="128" t="n"/>
      <c r="G51" s="129" t="n"/>
      <c r="H51" s="112">
        <f>IF($D51="","",IF($G51="",IFERROR(INDEX(INVENTARIO!$N$7:$N$26,MATCH($D51,INVENTARIO!$B$7:$B$26,0)),""),$G51))</f>
        <v/>
      </c>
      <c r="I51" s="114">
        <f>IF($D51="","",N($F51)*IF(ISNUMBER($H51),$H51,0))</f>
        <v/>
      </c>
      <c r="J51" s="115">
        <f>IF($D51="","",IFERROR(IF(INDEX(INVENTARIO!$O$7:$O$26,MATCH($D51,INVENTARIO!$B$7:$B$26,0))="",CFG_WALMART,INDEX(INVENTARIO!$O$7:$O$26,MATCH($D51,INVENTARIO!$B$7:$B$26,0))),CFG_WALMART))</f>
        <v/>
      </c>
      <c r="K51" s="112">
        <f>IF($D51="","",$I51*$J51)</f>
        <v/>
      </c>
      <c r="L51" s="129" t="n"/>
      <c r="M51" s="114">
        <f>IF($D51="","",$I51-$K51-N($L51))</f>
        <v/>
      </c>
      <c r="N51" s="113">
        <f>IF($D51="","",IFERROR(INDEX(INVENTARIO!$L$7:$L$26,MATCH($D51,INVENTARIO!$B$7:$B$26,0))*1,0))</f>
        <v/>
      </c>
      <c r="O51" s="112">
        <f>IF($D51="","",N($F51)*$N51)</f>
        <v/>
      </c>
      <c r="P51" s="114">
        <f>IF($D51="","",$M51-$O51)</f>
        <v/>
      </c>
      <c r="Q51" s="115">
        <f>IF($D51="","",IF($I51&gt;0,$P51/$I51,""))</f>
        <v/>
      </c>
      <c r="R51" s="127" t="n"/>
    </row>
    <row r="52">
      <c r="B52" s="130" t="n"/>
      <c r="C52" s="100" t="n"/>
      <c r="D52" s="100" t="n"/>
      <c r="E52" s="96">
        <f>IF($D52="","",IFERROR(INDEX(INVENTARIO!$C$7:$C$26,MATCH($D52,INVENTARIO!$B$7:$B$26,0)),"⚠ ID no existe"))</f>
        <v/>
      </c>
      <c r="F52" s="128" t="n"/>
      <c r="G52" s="129" t="n"/>
      <c r="H52" s="112">
        <f>IF($D52="","",IF($G52="",IFERROR(INDEX(INVENTARIO!$N$7:$N$26,MATCH($D52,INVENTARIO!$B$7:$B$26,0)),""),$G52))</f>
        <v/>
      </c>
      <c r="I52" s="114">
        <f>IF($D52="","",N($F52)*IF(ISNUMBER($H52),$H52,0))</f>
        <v/>
      </c>
      <c r="J52" s="115">
        <f>IF($D52="","",IFERROR(IF(INDEX(INVENTARIO!$O$7:$O$26,MATCH($D52,INVENTARIO!$B$7:$B$26,0))="",CFG_WALMART,INDEX(INVENTARIO!$O$7:$O$26,MATCH($D52,INVENTARIO!$B$7:$B$26,0))),CFG_WALMART))</f>
        <v/>
      </c>
      <c r="K52" s="112">
        <f>IF($D52="","",$I52*$J52)</f>
        <v/>
      </c>
      <c r="L52" s="129" t="n"/>
      <c r="M52" s="114">
        <f>IF($D52="","",$I52-$K52-N($L52))</f>
        <v/>
      </c>
      <c r="N52" s="113">
        <f>IF($D52="","",IFERROR(INDEX(INVENTARIO!$L$7:$L$26,MATCH($D52,INVENTARIO!$B$7:$B$26,0))*1,0))</f>
        <v/>
      </c>
      <c r="O52" s="112">
        <f>IF($D52="","",N($F52)*$N52)</f>
        <v/>
      </c>
      <c r="P52" s="114">
        <f>IF($D52="","",$M52-$O52)</f>
        <v/>
      </c>
      <c r="Q52" s="115">
        <f>IF($D52="","",IF($I52&gt;0,$P52/$I52,""))</f>
        <v/>
      </c>
      <c r="R52" s="127" t="n"/>
    </row>
    <row r="53">
      <c r="B53" s="130" t="n"/>
      <c r="C53" s="100" t="n"/>
      <c r="D53" s="100" t="n"/>
      <c r="E53" s="96">
        <f>IF($D53="","",IFERROR(INDEX(INVENTARIO!$C$7:$C$26,MATCH($D53,INVENTARIO!$B$7:$B$26,0)),"⚠ ID no existe"))</f>
        <v/>
      </c>
      <c r="F53" s="128" t="n"/>
      <c r="G53" s="129" t="n"/>
      <c r="H53" s="112">
        <f>IF($D53="","",IF($G53="",IFERROR(INDEX(INVENTARIO!$N$7:$N$26,MATCH($D53,INVENTARIO!$B$7:$B$26,0)),""),$G53))</f>
        <v/>
      </c>
      <c r="I53" s="114">
        <f>IF($D53="","",N($F53)*IF(ISNUMBER($H53),$H53,0))</f>
        <v/>
      </c>
      <c r="J53" s="115">
        <f>IF($D53="","",IFERROR(IF(INDEX(INVENTARIO!$O$7:$O$26,MATCH($D53,INVENTARIO!$B$7:$B$26,0))="",CFG_WALMART,INDEX(INVENTARIO!$O$7:$O$26,MATCH($D53,INVENTARIO!$B$7:$B$26,0))),CFG_WALMART))</f>
        <v/>
      </c>
      <c r="K53" s="112">
        <f>IF($D53="","",$I53*$J53)</f>
        <v/>
      </c>
      <c r="L53" s="129" t="n"/>
      <c r="M53" s="114">
        <f>IF($D53="","",$I53-$K53-N($L53))</f>
        <v/>
      </c>
      <c r="N53" s="113">
        <f>IF($D53="","",IFERROR(INDEX(INVENTARIO!$L$7:$L$26,MATCH($D53,INVENTARIO!$B$7:$B$26,0))*1,0))</f>
        <v/>
      </c>
      <c r="O53" s="112">
        <f>IF($D53="","",N($F53)*$N53)</f>
        <v/>
      </c>
      <c r="P53" s="114">
        <f>IF($D53="","",$M53-$O53)</f>
        <v/>
      </c>
      <c r="Q53" s="115">
        <f>IF($D53="","",IF($I53&gt;0,$P53/$I53,""))</f>
        <v/>
      </c>
      <c r="R53" s="127" t="n"/>
    </row>
    <row r="54">
      <c r="B54" s="130" t="n"/>
      <c r="C54" s="100" t="n"/>
      <c r="D54" s="100" t="n"/>
      <c r="E54" s="96">
        <f>IF($D54="","",IFERROR(INDEX(INVENTARIO!$C$7:$C$26,MATCH($D54,INVENTARIO!$B$7:$B$26,0)),"⚠ ID no existe"))</f>
        <v/>
      </c>
      <c r="F54" s="128" t="n"/>
      <c r="G54" s="129" t="n"/>
      <c r="H54" s="112">
        <f>IF($D54="","",IF($G54="",IFERROR(INDEX(INVENTARIO!$N$7:$N$26,MATCH($D54,INVENTARIO!$B$7:$B$26,0)),""),$G54))</f>
        <v/>
      </c>
      <c r="I54" s="114">
        <f>IF($D54="","",N($F54)*IF(ISNUMBER($H54),$H54,0))</f>
        <v/>
      </c>
      <c r="J54" s="115">
        <f>IF($D54="","",IFERROR(IF(INDEX(INVENTARIO!$O$7:$O$26,MATCH($D54,INVENTARIO!$B$7:$B$26,0))="",CFG_WALMART,INDEX(INVENTARIO!$O$7:$O$26,MATCH($D54,INVENTARIO!$B$7:$B$26,0))),CFG_WALMART))</f>
        <v/>
      </c>
      <c r="K54" s="112">
        <f>IF($D54="","",$I54*$J54)</f>
        <v/>
      </c>
      <c r="L54" s="129" t="n"/>
      <c r="M54" s="114">
        <f>IF($D54="","",$I54-$K54-N($L54))</f>
        <v/>
      </c>
      <c r="N54" s="113">
        <f>IF($D54="","",IFERROR(INDEX(INVENTARIO!$L$7:$L$26,MATCH($D54,INVENTARIO!$B$7:$B$26,0))*1,0))</f>
        <v/>
      </c>
      <c r="O54" s="112">
        <f>IF($D54="","",N($F54)*$N54)</f>
        <v/>
      </c>
      <c r="P54" s="114">
        <f>IF($D54="","",$M54-$O54)</f>
        <v/>
      </c>
      <c r="Q54" s="115">
        <f>IF($D54="","",IF($I54&gt;0,$P54/$I54,""))</f>
        <v/>
      </c>
      <c r="R54" s="127" t="n"/>
    </row>
    <row r="55">
      <c r="B55" s="130" t="n"/>
      <c r="C55" s="100" t="n"/>
      <c r="D55" s="100" t="n"/>
      <c r="E55" s="96">
        <f>IF($D55="","",IFERROR(INDEX(INVENTARIO!$C$7:$C$26,MATCH($D55,INVENTARIO!$B$7:$B$26,0)),"⚠ ID no existe"))</f>
        <v/>
      </c>
      <c r="F55" s="128" t="n"/>
      <c r="G55" s="129" t="n"/>
      <c r="H55" s="112">
        <f>IF($D55="","",IF($G55="",IFERROR(INDEX(INVENTARIO!$N$7:$N$26,MATCH($D55,INVENTARIO!$B$7:$B$26,0)),""),$G55))</f>
        <v/>
      </c>
      <c r="I55" s="114">
        <f>IF($D55="","",N($F55)*IF(ISNUMBER($H55),$H55,0))</f>
        <v/>
      </c>
      <c r="J55" s="115">
        <f>IF($D55="","",IFERROR(IF(INDEX(INVENTARIO!$O$7:$O$26,MATCH($D55,INVENTARIO!$B$7:$B$26,0))="",CFG_WALMART,INDEX(INVENTARIO!$O$7:$O$26,MATCH($D55,INVENTARIO!$B$7:$B$26,0))),CFG_WALMART))</f>
        <v/>
      </c>
      <c r="K55" s="112">
        <f>IF($D55="","",$I55*$J55)</f>
        <v/>
      </c>
      <c r="L55" s="129" t="n"/>
      <c r="M55" s="114">
        <f>IF($D55="","",$I55-$K55-N($L55))</f>
        <v/>
      </c>
      <c r="N55" s="113">
        <f>IF($D55="","",IFERROR(INDEX(INVENTARIO!$L$7:$L$26,MATCH($D55,INVENTARIO!$B$7:$B$26,0))*1,0))</f>
        <v/>
      </c>
      <c r="O55" s="112">
        <f>IF($D55="","",N($F55)*$N55)</f>
        <v/>
      </c>
      <c r="P55" s="114">
        <f>IF($D55="","",$M55-$O55)</f>
        <v/>
      </c>
      <c r="Q55" s="115">
        <f>IF($D55="","",IF($I55&gt;0,$P55/$I55,""))</f>
        <v/>
      </c>
      <c r="R55" s="127" t="n"/>
    </row>
    <row r="56">
      <c r="B56" s="130" t="n"/>
      <c r="C56" s="100" t="n"/>
      <c r="D56" s="100" t="n"/>
      <c r="E56" s="96">
        <f>IF($D56="","",IFERROR(INDEX(INVENTARIO!$C$7:$C$26,MATCH($D56,INVENTARIO!$B$7:$B$26,0)),"⚠ ID no existe"))</f>
        <v/>
      </c>
      <c r="F56" s="128" t="n"/>
      <c r="G56" s="129" t="n"/>
      <c r="H56" s="112">
        <f>IF($D56="","",IF($G56="",IFERROR(INDEX(INVENTARIO!$N$7:$N$26,MATCH($D56,INVENTARIO!$B$7:$B$26,0)),""),$G56))</f>
        <v/>
      </c>
      <c r="I56" s="114">
        <f>IF($D56="","",N($F56)*IF(ISNUMBER($H56),$H56,0))</f>
        <v/>
      </c>
      <c r="J56" s="115">
        <f>IF($D56="","",IFERROR(IF(INDEX(INVENTARIO!$O$7:$O$26,MATCH($D56,INVENTARIO!$B$7:$B$26,0))="",CFG_WALMART,INDEX(INVENTARIO!$O$7:$O$26,MATCH($D56,INVENTARIO!$B$7:$B$26,0))),CFG_WALMART))</f>
        <v/>
      </c>
      <c r="K56" s="112">
        <f>IF($D56="","",$I56*$J56)</f>
        <v/>
      </c>
      <c r="L56" s="129" t="n"/>
      <c r="M56" s="114">
        <f>IF($D56="","",$I56-$K56-N($L56))</f>
        <v/>
      </c>
      <c r="N56" s="113">
        <f>IF($D56="","",IFERROR(INDEX(INVENTARIO!$L$7:$L$26,MATCH($D56,INVENTARIO!$B$7:$B$26,0))*1,0))</f>
        <v/>
      </c>
      <c r="O56" s="112">
        <f>IF($D56="","",N($F56)*$N56)</f>
        <v/>
      </c>
      <c r="P56" s="114">
        <f>IF($D56="","",$M56-$O56)</f>
        <v/>
      </c>
      <c r="Q56" s="115">
        <f>IF($D56="","",IF($I56&gt;0,$P56/$I56,""))</f>
        <v/>
      </c>
      <c r="R56" s="127" t="n"/>
    </row>
    <row r="57">
      <c r="B57" s="130" t="n"/>
      <c r="C57" s="100" t="n"/>
      <c r="D57" s="100" t="n"/>
      <c r="E57" s="96">
        <f>IF($D57="","",IFERROR(INDEX(INVENTARIO!$C$7:$C$26,MATCH($D57,INVENTARIO!$B$7:$B$26,0)),"⚠ ID no existe"))</f>
        <v/>
      </c>
      <c r="F57" s="128" t="n"/>
      <c r="G57" s="129" t="n"/>
      <c r="H57" s="112">
        <f>IF($D57="","",IF($G57="",IFERROR(INDEX(INVENTARIO!$N$7:$N$26,MATCH($D57,INVENTARIO!$B$7:$B$26,0)),""),$G57))</f>
        <v/>
      </c>
      <c r="I57" s="114">
        <f>IF($D57="","",N($F57)*IF(ISNUMBER($H57),$H57,0))</f>
        <v/>
      </c>
      <c r="J57" s="115">
        <f>IF($D57="","",IFERROR(IF(INDEX(INVENTARIO!$O$7:$O$26,MATCH($D57,INVENTARIO!$B$7:$B$26,0))="",CFG_WALMART,INDEX(INVENTARIO!$O$7:$O$26,MATCH($D57,INVENTARIO!$B$7:$B$26,0))),CFG_WALMART))</f>
        <v/>
      </c>
      <c r="K57" s="112">
        <f>IF($D57="","",$I57*$J57)</f>
        <v/>
      </c>
      <c r="L57" s="129" t="n"/>
      <c r="M57" s="114">
        <f>IF($D57="","",$I57-$K57-N($L57))</f>
        <v/>
      </c>
      <c r="N57" s="113">
        <f>IF($D57="","",IFERROR(INDEX(INVENTARIO!$L$7:$L$26,MATCH($D57,INVENTARIO!$B$7:$B$26,0))*1,0))</f>
        <v/>
      </c>
      <c r="O57" s="112">
        <f>IF($D57="","",N($F57)*$N57)</f>
        <v/>
      </c>
      <c r="P57" s="114">
        <f>IF($D57="","",$M57-$O57)</f>
        <v/>
      </c>
      <c r="Q57" s="115">
        <f>IF($D57="","",IF($I57&gt;0,$P57/$I57,""))</f>
        <v/>
      </c>
      <c r="R57" s="127" t="n"/>
    </row>
    <row r="58">
      <c r="B58" s="130" t="n"/>
      <c r="C58" s="100" t="n"/>
      <c r="D58" s="100" t="n"/>
      <c r="E58" s="96">
        <f>IF($D58="","",IFERROR(INDEX(INVENTARIO!$C$7:$C$26,MATCH($D58,INVENTARIO!$B$7:$B$26,0)),"⚠ ID no existe"))</f>
        <v/>
      </c>
      <c r="F58" s="128" t="n"/>
      <c r="G58" s="129" t="n"/>
      <c r="H58" s="112">
        <f>IF($D58="","",IF($G58="",IFERROR(INDEX(INVENTARIO!$N$7:$N$26,MATCH($D58,INVENTARIO!$B$7:$B$26,0)),""),$G58))</f>
        <v/>
      </c>
      <c r="I58" s="114">
        <f>IF($D58="","",N($F58)*IF(ISNUMBER($H58),$H58,0))</f>
        <v/>
      </c>
      <c r="J58" s="115">
        <f>IF($D58="","",IFERROR(IF(INDEX(INVENTARIO!$O$7:$O$26,MATCH($D58,INVENTARIO!$B$7:$B$26,0))="",CFG_WALMART,INDEX(INVENTARIO!$O$7:$O$26,MATCH($D58,INVENTARIO!$B$7:$B$26,0))),CFG_WALMART))</f>
        <v/>
      </c>
      <c r="K58" s="112">
        <f>IF($D58="","",$I58*$J58)</f>
        <v/>
      </c>
      <c r="L58" s="129" t="n"/>
      <c r="M58" s="114">
        <f>IF($D58="","",$I58-$K58-N($L58))</f>
        <v/>
      </c>
      <c r="N58" s="113">
        <f>IF($D58="","",IFERROR(INDEX(INVENTARIO!$L$7:$L$26,MATCH($D58,INVENTARIO!$B$7:$B$26,0))*1,0))</f>
        <v/>
      </c>
      <c r="O58" s="112">
        <f>IF($D58="","",N($F58)*$N58)</f>
        <v/>
      </c>
      <c r="P58" s="114">
        <f>IF($D58="","",$M58-$O58)</f>
        <v/>
      </c>
      <c r="Q58" s="115">
        <f>IF($D58="","",IF($I58&gt;0,$P58/$I58,""))</f>
        <v/>
      </c>
      <c r="R58" s="127" t="n"/>
    </row>
    <row r="59">
      <c r="B59" s="130" t="n"/>
      <c r="C59" s="100" t="n"/>
      <c r="D59" s="100" t="n"/>
      <c r="E59" s="96">
        <f>IF($D59="","",IFERROR(INDEX(INVENTARIO!$C$7:$C$26,MATCH($D59,INVENTARIO!$B$7:$B$26,0)),"⚠ ID no existe"))</f>
        <v/>
      </c>
      <c r="F59" s="128" t="n"/>
      <c r="G59" s="129" t="n"/>
      <c r="H59" s="112">
        <f>IF($D59="","",IF($G59="",IFERROR(INDEX(INVENTARIO!$N$7:$N$26,MATCH($D59,INVENTARIO!$B$7:$B$26,0)),""),$G59))</f>
        <v/>
      </c>
      <c r="I59" s="114">
        <f>IF($D59="","",N($F59)*IF(ISNUMBER($H59),$H59,0))</f>
        <v/>
      </c>
      <c r="J59" s="115">
        <f>IF($D59="","",IFERROR(IF(INDEX(INVENTARIO!$O$7:$O$26,MATCH($D59,INVENTARIO!$B$7:$B$26,0))="",CFG_WALMART,INDEX(INVENTARIO!$O$7:$O$26,MATCH($D59,INVENTARIO!$B$7:$B$26,0))),CFG_WALMART))</f>
        <v/>
      </c>
      <c r="K59" s="112">
        <f>IF($D59="","",$I59*$J59)</f>
        <v/>
      </c>
      <c r="L59" s="129" t="n"/>
      <c r="M59" s="114">
        <f>IF($D59="","",$I59-$K59-N($L59))</f>
        <v/>
      </c>
      <c r="N59" s="113">
        <f>IF($D59="","",IFERROR(INDEX(INVENTARIO!$L$7:$L$26,MATCH($D59,INVENTARIO!$B$7:$B$26,0))*1,0))</f>
        <v/>
      </c>
      <c r="O59" s="112">
        <f>IF($D59="","",N($F59)*$N59)</f>
        <v/>
      </c>
      <c r="P59" s="114">
        <f>IF($D59="","",$M59-$O59)</f>
        <v/>
      </c>
      <c r="Q59" s="115">
        <f>IF($D59="","",IF($I59&gt;0,$P59/$I59,""))</f>
        <v/>
      </c>
      <c r="R59" s="127" t="n"/>
    </row>
    <row r="60">
      <c r="B60" s="130" t="n"/>
      <c r="C60" s="100" t="n"/>
      <c r="D60" s="100" t="n"/>
      <c r="E60" s="96">
        <f>IF($D60="","",IFERROR(INDEX(INVENTARIO!$C$7:$C$26,MATCH($D60,INVENTARIO!$B$7:$B$26,0)),"⚠ ID no existe"))</f>
        <v/>
      </c>
      <c r="F60" s="128" t="n"/>
      <c r="G60" s="129" t="n"/>
      <c r="H60" s="112">
        <f>IF($D60="","",IF($G60="",IFERROR(INDEX(INVENTARIO!$N$7:$N$26,MATCH($D60,INVENTARIO!$B$7:$B$26,0)),""),$G60))</f>
        <v/>
      </c>
      <c r="I60" s="114">
        <f>IF($D60="","",N($F60)*IF(ISNUMBER($H60),$H60,0))</f>
        <v/>
      </c>
      <c r="J60" s="115">
        <f>IF($D60="","",IFERROR(IF(INDEX(INVENTARIO!$O$7:$O$26,MATCH($D60,INVENTARIO!$B$7:$B$26,0))="",CFG_WALMART,INDEX(INVENTARIO!$O$7:$O$26,MATCH($D60,INVENTARIO!$B$7:$B$26,0))),CFG_WALMART))</f>
        <v/>
      </c>
      <c r="K60" s="112">
        <f>IF($D60="","",$I60*$J60)</f>
        <v/>
      </c>
      <c r="L60" s="129" t="n"/>
      <c r="M60" s="114">
        <f>IF($D60="","",$I60-$K60-N($L60))</f>
        <v/>
      </c>
      <c r="N60" s="113">
        <f>IF($D60="","",IFERROR(INDEX(INVENTARIO!$L$7:$L$26,MATCH($D60,INVENTARIO!$B$7:$B$26,0))*1,0))</f>
        <v/>
      </c>
      <c r="O60" s="112">
        <f>IF($D60="","",N($F60)*$N60)</f>
        <v/>
      </c>
      <c r="P60" s="114">
        <f>IF($D60="","",$M60-$O60)</f>
        <v/>
      </c>
      <c r="Q60" s="115">
        <f>IF($D60="","",IF($I60&gt;0,$P60/$I60,""))</f>
        <v/>
      </c>
      <c r="R60" s="127" t="n"/>
    </row>
    <row r="61">
      <c r="B61" s="130" t="n"/>
      <c r="C61" s="100" t="n"/>
      <c r="D61" s="100" t="n"/>
      <c r="E61" s="96">
        <f>IF($D61="","",IFERROR(INDEX(INVENTARIO!$C$7:$C$26,MATCH($D61,INVENTARIO!$B$7:$B$26,0)),"⚠ ID no existe"))</f>
        <v/>
      </c>
      <c r="F61" s="128" t="n"/>
      <c r="G61" s="129" t="n"/>
      <c r="H61" s="112">
        <f>IF($D61="","",IF($G61="",IFERROR(INDEX(INVENTARIO!$N$7:$N$26,MATCH($D61,INVENTARIO!$B$7:$B$26,0)),""),$G61))</f>
        <v/>
      </c>
      <c r="I61" s="114">
        <f>IF($D61="","",N($F61)*IF(ISNUMBER($H61),$H61,0))</f>
        <v/>
      </c>
      <c r="J61" s="115">
        <f>IF($D61="","",IFERROR(IF(INDEX(INVENTARIO!$O$7:$O$26,MATCH($D61,INVENTARIO!$B$7:$B$26,0))="",CFG_WALMART,INDEX(INVENTARIO!$O$7:$O$26,MATCH($D61,INVENTARIO!$B$7:$B$26,0))),CFG_WALMART))</f>
        <v/>
      </c>
      <c r="K61" s="112">
        <f>IF($D61="","",$I61*$J61)</f>
        <v/>
      </c>
      <c r="L61" s="129" t="n"/>
      <c r="M61" s="114">
        <f>IF($D61="","",$I61-$K61-N($L61))</f>
        <v/>
      </c>
      <c r="N61" s="113">
        <f>IF($D61="","",IFERROR(INDEX(INVENTARIO!$L$7:$L$26,MATCH($D61,INVENTARIO!$B$7:$B$26,0))*1,0))</f>
        <v/>
      </c>
      <c r="O61" s="112">
        <f>IF($D61="","",N($F61)*$N61)</f>
        <v/>
      </c>
      <c r="P61" s="114">
        <f>IF($D61="","",$M61-$O61)</f>
        <v/>
      </c>
      <c r="Q61" s="115">
        <f>IF($D61="","",IF($I61&gt;0,$P61/$I61,""))</f>
        <v/>
      </c>
      <c r="R61" s="127" t="n"/>
    </row>
    <row r="62">
      <c r="B62" s="130" t="n"/>
      <c r="C62" s="100" t="n"/>
      <c r="D62" s="100" t="n"/>
      <c r="E62" s="96">
        <f>IF($D62="","",IFERROR(INDEX(INVENTARIO!$C$7:$C$26,MATCH($D62,INVENTARIO!$B$7:$B$26,0)),"⚠ ID no existe"))</f>
        <v/>
      </c>
      <c r="F62" s="128" t="n"/>
      <c r="G62" s="129" t="n"/>
      <c r="H62" s="112">
        <f>IF($D62="","",IF($G62="",IFERROR(INDEX(INVENTARIO!$N$7:$N$26,MATCH($D62,INVENTARIO!$B$7:$B$26,0)),""),$G62))</f>
        <v/>
      </c>
      <c r="I62" s="114">
        <f>IF($D62="","",N($F62)*IF(ISNUMBER($H62),$H62,0))</f>
        <v/>
      </c>
      <c r="J62" s="115">
        <f>IF($D62="","",IFERROR(IF(INDEX(INVENTARIO!$O$7:$O$26,MATCH($D62,INVENTARIO!$B$7:$B$26,0))="",CFG_WALMART,INDEX(INVENTARIO!$O$7:$O$26,MATCH($D62,INVENTARIO!$B$7:$B$26,0))),CFG_WALMART))</f>
        <v/>
      </c>
      <c r="K62" s="112">
        <f>IF($D62="","",$I62*$J62)</f>
        <v/>
      </c>
      <c r="L62" s="129" t="n"/>
      <c r="M62" s="114">
        <f>IF($D62="","",$I62-$K62-N($L62))</f>
        <v/>
      </c>
      <c r="N62" s="113">
        <f>IF($D62="","",IFERROR(INDEX(INVENTARIO!$L$7:$L$26,MATCH($D62,INVENTARIO!$B$7:$B$26,0))*1,0))</f>
        <v/>
      </c>
      <c r="O62" s="112">
        <f>IF($D62="","",N($F62)*$N62)</f>
        <v/>
      </c>
      <c r="P62" s="114">
        <f>IF($D62="","",$M62-$O62)</f>
        <v/>
      </c>
      <c r="Q62" s="115">
        <f>IF($D62="","",IF($I62&gt;0,$P62/$I62,""))</f>
        <v/>
      </c>
      <c r="R62" s="127" t="n"/>
    </row>
    <row r="63">
      <c r="B63" s="130" t="n"/>
      <c r="C63" s="100" t="n"/>
      <c r="D63" s="100" t="n"/>
      <c r="E63" s="96">
        <f>IF($D63="","",IFERROR(INDEX(INVENTARIO!$C$7:$C$26,MATCH($D63,INVENTARIO!$B$7:$B$26,0)),"⚠ ID no existe"))</f>
        <v/>
      </c>
      <c r="F63" s="128" t="n"/>
      <c r="G63" s="129" t="n"/>
      <c r="H63" s="112">
        <f>IF($D63="","",IF($G63="",IFERROR(INDEX(INVENTARIO!$N$7:$N$26,MATCH($D63,INVENTARIO!$B$7:$B$26,0)),""),$G63))</f>
        <v/>
      </c>
      <c r="I63" s="114">
        <f>IF($D63="","",N($F63)*IF(ISNUMBER($H63),$H63,0))</f>
        <v/>
      </c>
      <c r="J63" s="115">
        <f>IF($D63="","",IFERROR(IF(INDEX(INVENTARIO!$O$7:$O$26,MATCH($D63,INVENTARIO!$B$7:$B$26,0))="",CFG_WALMART,INDEX(INVENTARIO!$O$7:$O$26,MATCH($D63,INVENTARIO!$B$7:$B$26,0))),CFG_WALMART))</f>
        <v/>
      </c>
      <c r="K63" s="112">
        <f>IF($D63="","",$I63*$J63)</f>
        <v/>
      </c>
      <c r="L63" s="129" t="n"/>
      <c r="M63" s="114">
        <f>IF($D63="","",$I63-$K63-N($L63))</f>
        <v/>
      </c>
      <c r="N63" s="113">
        <f>IF($D63="","",IFERROR(INDEX(INVENTARIO!$L$7:$L$26,MATCH($D63,INVENTARIO!$B$7:$B$26,0))*1,0))</f>
        <v/>
      </c>
      <c r="O63" s="112">
        <f>IF($D63="","",N($F63)*$N63)</f>
        <v/>
      </c>
      <c r="P63" s="114">
        <f>IF($D63="","",$M63-$O63)</f>
        <v/>
      </c>
      <c r="Q63" s="115">
        <f>IF($D63="","",IF($I63&gt;0,$P63/$I63,""))</f>
        <v/>
      </c>
      <c r="R63" s="127" t="n"/>
    </row>
    <row r="64">
      <c r="B64" s="130" t="n"/>
      <c r="C64" s="100" t="n"/>
      <c r="D64" s="100" t="n"/>
      <c r="E64" s="96">
        <f>IF($D64="","",IFERROR(INDEX(INVENTARIO!$C$7:$C$26,MATCH($D64,INVENTARIO!$B$7:$B$26,0)),"⚠ ID no existe"))</f>
        <v/>
      </c>
      <c r="F64" s="128" t="n"/>
      <c r="G64" s="129" t="n"/>
      <c r="H64" s="112">
        <f>IF($D64="","",IF($G64="",IFERROR(INDEX(INVENTARIO!$N$7:$N$26,MATCH($D64,INVENTARIO!$B$7:$B$26,0)),""),$G64))</f>
        <v/>
      </c>
      <c r="I64" s="114">
        <f>IF($D64="","",N($F64)*IF(ISNUMBER($H64),$H64,0))</f>
        <v/>
      </c>
      <c r="J64" s="115">
        <f>IF($D64="","",IFERROR(IF(INDEX(INVENTARIO!$O$7:$O$26,MATCH($D64,INVENTARIO!$B$7:$B$26,0))="",CFG_WALMART,INDEX(INVENTARIO!$O$7:$O$26,MATCH($D64,INVENTARIO!$B$7:$B$26,0))),CFG_WALMART))</f>
        <v/>
      </c>
      <c r="K64" s="112">
        <f>IF($D64="","",$I64*$J64)</f>
        <v/>
      </c>
      <c r="L64" s="129" t="n"/>
      <c r="M64" s="114">
        <f>IF($D64="","",$I64-$K64-N($L64))</f>
        <v/>
      </c>
      <c r="N64" s="113">
        <f>IF($D64="","",IFERROR(INDEX(INVENTARIO!$L$7:$L$26,MATCH($D64,INVENTARIO!$B$7:$B$26,0))*1,0))</f>
        <v/>
      </c>
      <c r="O64" s="112">
        <f>IF($D64="","",N($F64)*$N64)</f>
        <v/>
      </c>
      <c r="P64" s="114">
        <f>IF($D64="","",$M64-$O64)</f>
        <v/>
      </c>
      <c r="Q64" s="115">
        <f>IF($D64="","",IF($I64&gt;0,$P64/$I64,""))</f>
        <v/>
      </c>
      <c r="R64" s="127" t="n"/>
    </row>
    <row r="65">
      <c r="B65" s="130" t="n"/>
      <c r="C65" s="100" t="n"/>
      <c r="D65" s="100" t="n"/>
      <c r="E65" s="96">
        <f>IF($D65="","",IFERROR(INDEX(INVENTARIO!$C$7:$C$26,MATCH($D65,INVENTARIO!$B$7:$B$26,0)),"⚠ ID no existe"))</f>
        <v/>
      </c>
      <c r="F65" s="128" t="n"/>
      <c r="G65" s="129" t="n"/>
      <c r="H65" s="112">
        <f>IF($D65="","",IF($G65="",IFERROR(INDEX(INVENTARIO!$N$7:$N$26,MATCH($D65,INVENTARIO!$B$7:$B$26,0)),""),$G65))</f>
        <v/>
      </c>
      <c r="I65" s="114">
        <f>IF($D65="","",N($F65)*IF(ISNUMBER($H65),$H65,0))</f>
        <v/>
      </c>
      <c r="J65" s="115">
        <f>IF($D65="","",IFERROR(IF(INDEX(INVENTARIO!$O$7:$O$26,MATCH($D65,INVENTARIO!$B$7:$B$26,0))="",CFG_WALMART,INDEX(INVENTARIO!$O$7:$O$26,MATCH($D65,INVENTARIO!$B$7:$B$26,0))),CFG_WALMART))</f>
        <v/>
      </c>
      <c r="K65" s="112">
        <f>IF($D65="","",$I65*$J65)</f>
        <v/>
      </c>
      <c r="L65" s="129" t="n"/>
      <c r="M65" s="114">
        <f>IF($D65="","",$I65-$K65-N($L65))</f>
        <v/>
      </c>
      <c r="N65" s="113">
        <f>IF($D65="","",IFERROR(INDEX(INVENTARIO!$L$7:$L$26,MATCH($D65,INVENTARIO!$B$7:$B$26,0))*1,0))</f>
        <v/>
      </c>
      <c r="O65" s="112">
        <f>IF($D65="","",N($F65)*$N65)</f>
        <v/>
      </c>
      <c r="P65" s="114">
        <f>IF($D65="","",$M65-$O65)</f>
        <v/>
      </c>
      <c r="Q65" s="115">
        <f>IF($D65="","",IF($I65&gt;0,$P65/$I65,""))</f>
        <v/>
      </c>
      <c r="R65" s="127" t="n"/>
    </row>
    <row r="66">
      <c r="B66" s="130" t="n"/>
      <c r="C66" s="100" t="n"/>
      <c r="D66" s="100" t="n"/>
      <c r="E66" s="96">
        <f>IF($D66="","",IFERROR(INDEX(INVENTARIO!$C$7:$C$26,MATCH($D66,INVENTARIO!$B$7:$B$26,0)),"⚠ ID no existe"))</f>
        <v/>
      </c>
      <c r="F66" s="128" t="n"/>
      <c r="G66" s="129" t="n"/>
      <c r="H66" s="112">
        <f>IF($D66="","",IF($G66="",IFERROR(INDEX(INVENTARIO!$N$7:$N$26,MATCH($D66,INVENTARIO!$B$7:$B$26,0)),""),$G66))</f>
        <v/>
      </c>
      <c r="I66" s="114">
        <f>IF($D66="","",N($F66)*IF(ISNUMBER($H66),$H66,0))</f>
        <v/>
      </c>
      <c r="J66" s="115">
        <f>IF($D66="","",IFERROR(IF(INDEX(INVENTARIO!$O$7:$O$26,MATCH($D66,INVENTARIO!$B$7:$B$26,0))="",CFG_WALMART,INDEX(INVENTARIO!$O$7:$O$26,MATCH($D66,INVENTARIO!$B$7:$B$26,0))),CFG_WALMART))</f>
        <v/>
      </c>
      <c r="K66" s="112">
        <f>IF($D66="","",$I66*$J66)</f>
        <v/>
      </c>
      <c r="L66" s="129" t="n"/>
      <c r="M66" s="114">
        <f>IF($D66="","",$I66-$K66-N($L66))</f>
        <v/>
      </c>
      <c r="N66" s="113">
        <f>IF($D66="","",IFERROR(INDEX(INVENTARIO!$L$7:$L$26,MATCH($D66,INVENTARIO!$B$7:$B$26,0))*1,0))</f>
        <v/>
      </c>
      <c r="O66" s="112">
        <f>IF($D66="","",N($F66)*$N66)</f>
        <v/>
      </c>
      <c r="P66" s="114">
        <f>IF($D66="","",$M66-$O66)</f>
        <v/>
      </c>
      <c r="Q66" s="115">
        <f>IF($D66="","",IF($I66&gt;0,$P66/$I66,""))</f>
        <v/>
      </c>
      <c r="R66" s="127" t="n"/>
    </row>
    <row r="67">
      <c r="B67" s="130" t="n"/>
      <c r="C67" s="100" t="n"/>
      <c r="D67" s="100" t="n"/>
      <c r="E67" s="96">
        <f>IF($D67="","",IFERROR(INDEX(INVENTARIO!$C$7:$C$26,MATCH($D67,INVENTARIO!$B$7:$B$26,0)),"⚠ ID no existe"))</f>
        <v/>
      </c>
      <c r="F67" s="128" t="n"/>
      <c r="G67" s="129" t="n"/>
      <c r="H67" s="112">
        <f>IF($D67="","",IF($G67="",IFERROR(INDEX(INVENTARIO!$N$7:$N$26,MATCH($D67,INVENTARIO!$B$7:$B$26,0)),""),$G67))</f>
        <v/>
      </c>
      <c r="I67" s="114">
        <f>IF($D67="","",N($F67)*IF(ISNUMBER($H67),$H67,0))</f>
        <v/>
      </c>
      <c r="J67" s="115">
        <f>IF($D67="","",IFERROR(IF(INDEX(INVENTARIO!$O$7:$O$26,MATCH($D67,INVENTARIO!$B$7:$B$26,0))="",CFG_WALMART,INDEX(INVENTARIO!$O$7:$O$26,MATCH($D67,INVENTARIO!$B$7:$B$26,0))),CFG_WALMART))</f>
        <v/>
      </c>
      <c r="K67" s="112">
        <f>IF($D67="","",$I67*$J67)</f>
        <v/>
      </c>
      <c r="L67" s="129" t="n"/>
      <c r="M67" s="114">
        <f>IF($D67="","",$I67-$K67-N($L67))</f>
        <v/>
      </c>
      <c r="N67" s="113">
        <f>IF($D67="","",IFERROR(INDEX(INVENTARIO!$L$7:$L$26,MATCH($D67,INVENTARIO!$B$7:$B$26,0))*1,0))</f>
        <v/>
      </c>
      <c r="O67" s="112">
        <f>IF($D67="","",N($F67)*$N67)</f>
        <v/>
      </c>
      <c r="P67" s="114">
        <f>IF($D67="","",$M67-$O67)</f>
        <v/>
      </c>
      <c r="Q67" s="115">
        <f>IF($D67="","",IF($I67&gt;0,$P67/$I67,""))</f>
        <v/>
      </c>
      <c r="R67" s="127" t="n"/>
    </row>
    <row r="68">
      <c r="B68" s="130" t="n"/>
      <c r="C68" s="100" t="n"/>
      <c r="D68" s="100" t="n"/>
      <c r="E68" s="96">
        <f>IF($D68="","",IFERROR(INDEX(INVENTARIO!$C$7:$C$26,MATCH($D68,INVENTARIO!$B$7:$B$26,0)),"⚠ ID no existe"))</f>
        <v/>
      </c>
      <c r="F68" s="128" t="n"/>
      <c r="G68" s="129" t="n"/>
      <c r="H68" s="112">
        <f>IF($D68="","",IF($G68="",IFERROR(INDEX(INVENTARIO!$N$7:$N$26,MATCH($D68,INVENTARIO!$B$7:$B$26,0)),""),$G68))</f>
        <v/>
      </c>
      <c r="I68" s="114">
        <f>IF($D68="","",N($F68)*IF(ISNUMBER($H68),$H68,0))</f>
        <v/>
      </c>
      <c r="J68" s="115">
        <f>IF($D68="","",IFERROR(IF(INDEX(INVENTARIO!$O$7:$O$26,MATCH($D68,INVENTARIO!$B$7:$B$26,0))="",CFG_WALMART,INDEX(INVENTARIO!$O$7:$O$26,MATCH($D68,INVENTARIO!$B$7:$B$26,0))),CFG_WALMART))</f>
        <v/>
      </c>
      <c r="K68" s="112">
        <f>IF($D68="","",$I68*$J68)</f>
        <v/>
      </c>
      <c r="L68" s="129" t="n"/>
      <c r="M68" s="114">
        <f>IF($D68="","",$I68-$K68-N($L68))</f>
        <v/>
      </c>
      <c r="N68" s="113">
        <f>IF($D68="","",IFERROR(INDEX(INVENTARIO!$L$7:$L$26,MATCH($D68,INVENTARIO!$B$7:$B$26,0))*1,0))</f>
        <v/>
      </c>
      <c r="O68" s="112">
        <f>IF($D68="","",N($F68)*$N68)</f>
        <v/>
      </c>
      <c r="P68" s="114">
        <f>IF($D68="","",$M68-$O68)</f>
        <v/>
      </c>
      <c r="Q68" s="115">
        <f>IF($D68="","",IF($I68&gt;0,$P68/$I68,""))</f>
        <v/>
      </c>
      <c r="R68" s="127" t="n"/>
    </row>
    <row r="69">
      <c r="B69" s="130" t="n"/>
      <c r="C69" s="100" t="n"/>
      <c r="D69" s="100" t="n"/>
      <c r="E69" s="96">
        <f>IF($D69="","",IFERROR(INDEX(INVENTARIO!$C$7:$C$26,MATCH($D69,INVENTARIO!$B$7:$B$26,0)),"⚠ ID no existe"))</f>
        <v/>
      </c>
      <c r="F69" s="128" t="n"/>
      <c r="G69" s="129" t="n"/>
      <c r="H69" s="112">
        <f>IF($D69="","",IF($G69="",IFERROR(INDEX(INVENTARIO!$N$7:$N$26,MATCH($D69,INVENTARIO!$B$7:$B$26,0)),""),$G69))</f>
        <v/>
      </c>
      <c r="I69" s="114">
        <f>IF($D69="","",N($F69)*IF(ISNUMBER($H69),$H69,0))</f>
        <v/>
      </c>
      <c r="J69" s="115">
        <f>IF($D69="","",IFERROR(IF(INDEX(INVENTARIO!$O$7:$O$26,MATCH($D69,INVENTARIO!$B$7:$B$26,0))="",CFG_WALMART,INDEX(INVENTARIO!$O$7:$O$26,MATCH($D69,INVENTARIO!$B$7:$B$26,0))),CFG_WALMART))</f>
        <v/>
      </c>
      <c r="K69" s="112">
        <f>IF($D69="","",$I69*$J69)</f>
        <v/>
      </c>
      <c r="L69" s="129" t="n"/>
      <c r="M69" s="114">
        <f>IF($D69="","",$I69-$K69-N($L69))</f>
        <v/>
      </c>
      <c r="N69" s="113">
        <f>IF($D69="","",IFERROR(INDEX(INVENTARIO!$L$7:$L$26,MATCH($D69,INVENTARIO!$B$7:$B$26,0))*1,0))</f>
        <v/>
      </c>
      <c r="O69" s="112">
        <f>IF($D69="","",N($F69)*$N69)</f>
        <v/>
      </c>
      <c r="P69" s="114">
        <f>IF($D69="","",$M69-$O69)</f>
        <v/>
      </c>
      <c r="Q69" s="115">
        <f>IF($D69="","",IF($I69&gt;0,$P69/$I69,""))</f>
        <v/>
      </c>
      <c r="R69" s="127" t="n"/>
    </row>
    <row r="70">
      <c r="B70" s="130" t="n"/>
      <c r="C70" s="100" t="n"/>
      <c r="D70" s="100" t="n"/>
      <c r="E70" s="96">
        <f>IF($D70="","",IFERROR(INDEX(INVENTARIO!$C$7:$C$26,MATCH($D70,INVENTARIO!$B$7:$B$26,0)),"⚠ ID no existe"))</f>
        <v/>
      </c>
      <c r="F70" s="128" t="n"/>
      <c r="G70" s="129" t="n"/>
      <c r="H70" s="112">
        <f>IF($D70="","",IF($G70="",IFERROR(INDEX(INVENTARIO!$N$7:$N$26,MATCH($D70,INVENTARIO!$B$7:$B$26,0)),""),$G70))</f>
        <v/>
      </c>
      <c r="I70" s="114">
        <f>IF($D70="","",N($F70)*IF(ISNUMBER($H70),$H70,0))</f>
        <v/>
      </c>
      <c r="J70" s="115">
        <f>IF($D70="","",IFERROR(IF(INDEX(INVENTARIO!$O$7:$O$26,MATCH($D70,INVENTARIO!$B$7:$B$26,0))="",CFG_WALMART,INDEX(INVENTARIO!$O$7:$O$26,MATCH($D70,INVENTARIO!$B$7:$B$26,0))),CFG_WALMART))</f>
        <v/>
      </c>
      <c r="K70" s="112">
        <f>IF($D70="","",$I70*$J70)</f>
        <v/>
      </c>
      <c r="L70" s="129" t="n"/>
      <c r="M70" s="114">
        <f>IF($D70="","",$I70-$K70-N($L70))</f>
        <v/>
      </c>
      <c r="N70" s="113">
        <f>IF($D70="","",IFERROR(INDEX(INVENTARIO!$L$7:$L$26,MATCH($D70,INVENTARIO!$B$7:$B$26,0))*1,0))</f>
        <v/>
      </c>
      <c r="O70" s="112">
        <f>IF($D70="","",N($F70)*$N70)</f>
        <v/>
      </c>
      <c r="P70" s="114">
        <f>IF($D70="","",$M70-$O70)</f>
        <v/>
      </c>
      <c r="Q70" s="115">
        <f>IF($D70="","",IF($I70&gt;0,$P70/$I70,""))</f>
        <v/>
      </c>
      <c r="R70" s="127" t="n"/>
    </row>
    <row r="71">
      <c r="B71" s="130" t="n"/>
      <c r="C71" s="100" t="n"/>
      <c r="D71" s="100" t="n"/>
      <c r="E71" s="96">
        <f>IF($D71="","",IFERROR(INDEX(INVENTARIO!$C$7:$C$26,MATCH($D71,INVENTARIO!$B$7:$B$26,0)),"⚠ ID no existe"))</f>
        <v/>
      </c>
      <c r="F71" s="128" t="n"/>
      <c r="G71" s="129" t="n"/>
      <c r="H71" s="112">
        <f>IF($D71="","",IF($G71="",IFERROR(INDEX(INVENTARIO!$N$7:$N$26,MATCH($D71,INVENTARIO!$B$7:$B$26,0)),""),$G71))</f>
        <v/>
      </c>
      <c r="I71" s="114">
        <f>IF($D71="","",N($F71)*IF(ISNUMBER($H71),$H71,0))</f>
        <v/>
      </c>
      <c r="J71" s="115">
        <f>IF($D71="","",IFERROR(IF(INDEX(INVENTARIO!$O$7:$O$26,MATCH($D71,INVENTARIO!$B$7:$B$26,0))="",CFG_WALMART,INDEX(INVENTARIO!$O$7:$O$26,MATCH($D71,INVENTARIO!$B$7:$B$26,0))),CFG_WALMART))</f>
        <v/>
      </c>
      <c r="K71" s="112">
        <f>IF($D71="","",$I71*$J71)</f>
        <v/>
      </c>
      <c r="L71" s="129" t="n"/>
      <c r="M71" s="114">
        <f>IF($D71="","",$I71-$K71-N($L71))</f>
        <v/>
      </c>
      <c r="N71" s="113">
        <f>IF($D71="","",IFERROR(INDEX(INVENTARIO!$L$7:$L$26,MATCH($D71,INVENTARIO!$B$7:$B$26,0))*1,0))</f>
        <v/>
      </c>
      <c r="O71" s="112">
        <f>IF($D71="","",N($F71)*$N71)</f>
        <v/>
      </c>
      <c r="P71" s="114">
        <f>IF($D71="","",$M71-$O71)</f>
        <v/>
      </c>
      <c r="Q71" s="115">
        <f>IF($D71="","",IF($I71&gt;0,$P71/$I71,""))</f>
        <v/>
      </c>
      <c r="R71" s="127" t="n"/>
    </row>
    <row r="72">
      <c r="B72" s="130" t="n"/>
      <c r="C72" s="100" t="n"/>
      <c r="D72" s="100" t="n"/>
      <c r="E72" s="96">
        <f>IF($D72="","",IFERROR(INDEX(INVENTARIO!$C$7:$C$26,MATCH($D72,INVENTARIO!$B$7:$B$26,0)),"⚠ ID no existe"))</f>
        <v/>
      </c>
      <c r="F72" s="128" t="n"/>
      <c r="G72" s="129" t="n"/>
      <c r="H72" s="112">
        <f>IF($D72="","",IF($G72="",IFERROR(INDEX(INVENTARIO!$N$7:$N$26,MATCH($D72,INVENTARIO!$B$7:$B$26,0)),""),$G72))</f>
        <v/>
      </c>
      <c r="I72" s="114">
        <f>IF($D72="","",N($F72)*IF(ISNUMBER($H72),$H72,0))</f>
        <v/>
      </c>
      <c r="J72" s="115">
        <f>IF($D72="","",IFERROR(IF(INDEX(INVENTARIO!$O$7:$O$26,MATCH($D72,INVENTARIO!$B$7:$B$26,0))="",CFG_WALMART,INDEX(INVENTARIO!$O$7:$O$26,MATCH($D72,INVENTARIO!$B$7:$B$26,0))),CFG_WALMART))</f>
        <v/>
      </c>
      <c r="K72" s="112">
        <f>IF($D72="","",$I72*$J72)</f>
        <v/>
      </c>
      <c r="L72" s="129" t="n"/>
      <c r="M72" s="114">
        <f>IF($D72="","",$I72-$K72-N($L72))</f>
        <v/>
      </c>
      <c r="N72" s="113">
        <f>IF($D72="","",IFERROR(INDEX(INVENTARIO!$L$7:$L$26,MATCH($D72,INVENTARIO!$B$7:$B$26,0))*1,0))</f>
        <v/>
      </c>
      <c r="O72" s="112">
        <f>IF($D72="","",N($F72)*$N72)</f>
        <v/>
      </c>
      <c r="P72" s="114">
        <f>IF($D72="","",$M72-$O72)</f>
        <v/>
      </c>
      <c r="Q72" s="115">
        <f>IF($D72="","",IF($I72&gt;0,$P72/$I72,""))</f>
        <v/>
      </c>
      <c r="R72" s="127" t="n"/>
    </row>
    <row r="73">
      <c r="B73" s="130" t="n"/>
      <c r="C73" s="100" t="n"/>
      <c r="D73" s="100" t="n"/>
      <c r="E73" s="96">
        <f>IF($D73="","",IFERROR(INDEX(INVENTARIO!$C$7:$C$26,MATCH($D73,INVENTARIO!$B$7:$B$26,0)),"⚠ ID no existe"))</f>
        <v/>
      </c>
      <c r="F73" s="128" t="n"/>
      <c r="G73" s="129" t="n"/>
      <c r="H73" s="112">
        <f>IF($D73="","",IF($G73="",IFERROR(INDEX(INVENTARIO!$N$7:$N$26,MATCH($D73,INVENTARIO!$B$7:$B$26,0)),""),$G73))</f>
        <v/>
      </c>
      <c r="I73" s="114">
        <f>IF($D73="","",N($F73)*IF(ISNUMBER($H73),$H73,0))</f>
        <v/>
      </c>
      <c r="J73" s="115">
        <f>IF($D73="","",IFERROR(IF(INDEX(INVENTARIO!$O$7:$O$26,MATCH($D73,INVENTARIO!$B$7:$B$26,0))="",CFG_WALMART,INDEX(INVENTARIO!$O$7:$O$26,MATCH($D73,INVENTARIO!$B$7:$B$26,0))),CFG_WALMART))</f>
        <v/>
      </c>
      <c r="K73" s="112">
        <f>IF($D73="","",$I73*$J73)</f>
        <v/>
      </c>
      <c r="L73" s="129" t="n"/>
      <c r="M73" s="114">
        <f>IF($D73="","",$I73-$K73-N($L73))</f>
        <v/>
      </c>
      <c r="N73" s="113">
        <f>IF($D73="","",IFERROR(INDEX(INVENTARIO!$L$7:$L$26,MATCH($D73,INVENTARIO!$B$7:$B$26,0))*1,0))</f>
        <v/>
      </c>
      <c r="O73" s="112">
        <f>IF($D73="","",N($F73)*$N73)</f>
        <v/>
      </c>
      <c r="P73" s="114">
        <f>IF($D73="","",$M73-$O73)</f>
        <v/>
      </c>
      <c r="Q73" s="115">
        <f>IF($D73="","",IF($I73&gt;0,$P73/$I73,""))</f>
        <v/>
      </c>
      <c r="R73" s="127" t="n"/>
    </row>
    <row r="74">
      <c r="B74" s="130" t="n"/>
      <c r="C74" s="100" t="n"/>
      <c r="D74" s="100" t="n"/>
      <c r="E74" s="96">
        <f>IF($D74="","",IFERROR(INDEX(INVENTARIO!$C$7:$C$26,MATCH($D74,INVENTARIO!$B$7:$B$26,0)),"⚠ ID no existe"))</f>
        <v/>
      </c>
      <c r="F74" s="128" t="n"/>
      <c r="G74" s="129" t="n"/>
      <c r="H74" s="112">
        <f>IF($D74="","",IF($G74="",IFERROR(INDEX(INVENTARIO!$N$7:$N$26,MATCH($D74,INVENTARIO!$B$7:$B$26,0)),""),$G74))</f>
        <v/>
      </c>
      <c r="I74" s="114">
        <f>IF($D74="","",N($F74)*IF(ISNUMBER($H74),$H74,0))</f>
        <v/>
      </c>
      <c r="J74" s="115">
        <f>IF($D74="","",IFERROR(IF(INDEX(INVENTARIO!$O$7:$O$26,MATCH($D74,INVENTARIO!$B$7:$B$26,0))="",CFG_WALMART,INDEX(INVENTARIO!$O$7:$O$26,MATCH($D74,INVENTARIO!$B$7:$B$26,0))),CFG_WALMART))</f>
        <v/>
      </c>
      <c r="K74" s="112">
        <f>IF($D74="","",$I74*$J74)</f>
        <v/>
      </c>
      <c r="L74" s="129" t="n"/>
      <c r="M74" s="114">
        <f>IF($D74="","",$I74-$K74-N($L74))</f>
        <v/>
      </c>
      <c r="N74" s="113">
        <f>IF($D74="","",IFERROR(INDEX(INVENTARIO!$L$7:$L$26,MATCH($D74,INVENTARIO!$B$7:$B$26,0))*1,0))</f>
        <v/>
      </c>
      <c r="O74" s="112">
        <f>IF($D74="","",N($F74)*$N74)</f>
        <v/>
      </c>
      <c r="P74" s="114">
        <f>IF($D74="","",$M74-$O74)</f>
        <v/>
      </c>
      <c r="Q74" s="115">
        <f>IF($D74="","",IF($I74&gt;0,$P74/$I74,""))</f>
        <v/>
      </c>
      <c r="R74" s="127" t="n"/>
    </row>
    <row r="75">
      <c r="B75" s="130" t="n"/>
      <c r="C75" s="100" t="n"/>
      <c r="D75" s="100" t="n"/>
      <c r="E75" s="96">
        <f>IF($D75="","",IFERROR(INDEX(INVENTARIO!$C$7:$C$26,MATCH($D75,INVENTARIO!$B$7:$B$26,0)),"⚠ ID no existe"))</f>
        <v/>
      </c>
      <c r="F75" s="128" t="n"/>
      <c r="G75" s="129" t="n"/>
      <c r="H75" s="112">
        <f>IF($D75="","",IF($G75="",IFERROR(INDEX(INVENTARIO!$N$7:$N$26,MATCH($D75,INVENTARIO!$B$7:$B$26,0)),""),$G75))</f>
        <v/>
      </c>
      <c r="I75" s="114">
        <f>IF($D75="","",N($F75)*IF(ISNUMBER($H75),$H75,0))</f>
        <v/>
      </c>
      <c r="J75" s="115">
        <f>IF($D75="","",IFERROR(IF(INDEX(INVENTARIO!$O$7:$O$26,MATCH($D75,INVENTARIO!$B$7:$B$26,0))="",CFG_WALMART,INDEX(INVENTARIO!$O$7:$O$26,MATCH($D75,INVENTARIO!$B$7:$B$26,0))),CFG_WALMART))</f>
        <v/>
      </c>
      <c r="K75" s="112">
        <f>IF($D75="","",$I75*$J75)</f>
        <v/>
      </c>
      <c r="L75" s="129" t="n"/>
      <c r="M75" s="114">
        <f>IF($D75="","",$I75-$K75-N($L75))</f>
        <v/>
      </c>
      <c r="N75" s="113">
        <f>IF($D75="","",IFERROR(INDEX(INVENTARIO!$L$7:$L$26,MATCH($D75,INVENTARIO!$B$7:$B$26,0))*1,0))</f>
        <v/>
      </c>
      <c r="O75" s="112">
        <f>IF($D75="","",N($F75)*$N75)</f>
        <v/>
      </c>
      <c r="P75" s="114">
        <f>IF($D75="","",$M75-$O75)</f>
        <v/>
      </c>
      <c r="Q75" s="115">
        <f>IF($D75="","",IF($I75&gt;0,$P75/$I75,""))</f>
        <v/>
      </c>
      <c r="R75" s="127" t="n"/>
    </row>
    <row r="76">
      <c r="B76" s="130" t="n"/>
      <c r="C76" s="100" t="n"/>
      <c r="D76" s="100" t="n"/>
      <c r="E76" s="96">
        <f>IF($D76="","",IFERROR(INDEX(INVENTARIO!$C$7:$C$26,MATCH($D76,INVENTARIO!$B$7:$B$26,0)),"⚠ ID no existe"))</f>
        <v/>
      </c>
      <c r="F76" s="128" t="n"/>
      <c r="G76" s="129" t="n"/>
      <c r="H76" s="112">
        <f>IF($D76="","",IF($G76="",IFERROR(INDEX(INVENTARIO!$N$7:$N$26,MATCH($D76,INVENTARIO!$B$7:$B$26,0)),""),$G76))</f>
        <v/>
      </c>
      <c r="I76" s="114">
        <f>IF($D76="","",N($F76)*IF(ISNUMBER($H76),$H76,0))</f>
        <v/>
      </c>
      <c r="J76" s="115">
        <f>IF($D76="","",IFERROR(IF(INDEX(INVENTARIO!$O$7:$O$26,MATCH($D76,INVENTARIO!$B$7:$B$26,0))="",CFG_WALMART,INDEX(INVENTARIO!$O$7:$O$26,MATCH($D76,INVENTARIO!$B$7:$B$26,0))),CFG_WALMART))</f>
        <v/>
      </c>
      <c r="K76" s="112">
        <f>IF($D76="","",$I76*$J76)</f>
        <v/>
      </c>
      <c r="L76" s="129" t="n"/>
      <c r="M76" s="114">
        <f>IF($D76="","",$I76-$K76-N($L76))</f>
        <v/>
      </c>
      <c r="N76" s="113">
        <f>IF($D76="","",IFERROR(INDEX(INVENTARIO!$L$7:$L$26,MATCH($D76,INVENTARIO!$B$7:$B$26,0))*1,0))</f>
        <v/>
      </c>
      <c r="O76" s="112">
        <f>IF($D76="","",N($F76)*$N76)</f>
        <v/>
      </c>
      <c r="P76" s="114">
        <f>IF($D76="","",$M76-$O76)</f>
        <v/>
      </c>
      <c r="Q76" s="115">
        <f>IF($D76="","",IF($I76&gt;0,$P76/$I76,""))</f>
        <v/>
      </c>
      <c r="R76" s="127" t="n"/>
    </row>
    <row r="77">
      <c r="B77" s="130" t="n"/>
      <c r="C77" s="100" t="n"/>
      <c r="D77" s="100" t="n"/>
      <c r="E77" s="96">
        <f>IF($D77="","",IFERROR(INDEX(INVENTARIO!$C$7:$C$26,MATCH($D77,INVENTARIO!$B$7:$B$26,0)),"⚠ ID no existe"))</f>
        <v/>
      </c>
      <c r="F77" s="128" t="n"/>
      <c r="G77" s="129" t="n"/>
      <c r="H77" s="112">
        <f>IF($D77="","",IF($G77="",IFERROR(INDEX(INVENTARIO!$N$7:$N$26,MATCH($D77,INVENTARIO!$B$7:$B$26,0)),""),$G77))</f>
        <v/>
      </c>
      <c r="I77" s="114">
        <f>IF($D77="","",N($F77)*IF(ISNUMBER($H77),$H77,0))</f>
        <v/>
      </c>
      <c r="J77" s="115">
        <f>IF($D77="","",IFERROR(IF(INDEX(INVENTARIO!$O$7:$O$26,MATCH($D77,INVENTARIO!$B$7:$B$26,0))="",CFG_WALMART,INDEX(INVENTARIO!$O$7:$O$26,MATCH($D77,INVENTARIO!$B$7:$B$26,0))),CFG_WALMART))</f>
        <v/>
      </c>
      <c r="K77" s="112">
        <f>IF($D77="","",$I77*$J77)</f>
        <v/>
      </c>
      <c r="L77" s="129" t="n"/>
      <c r="M77" s="114">
        <f>IF($D77="","",$I77-$K77-N($L77))</f>
        <v/>
      </c>
      <c r="N77" s="113">
        <f>IF($D77="","",IFERROR(INDEX(INVENTARIO!$L$7:$L$26,MATCH($D77,INVENTARIO!$B$7:$B$26,0))*1,0))</f>
        <v/>
      </c>
      <c r="O77" s="112">
        <f>IF($D77="","",N($F77)*$N77)</f>
        <v/>
      </c>
      <c r="P77" s="114">
        <f>IF($D77="","",$M77-$O77)</f>
        <v/>
      </c>
      <c r="Q77" s="115">
        <f>IF($D77="","",IF($I77&gt;0,$P77/$I77,""))</f>
        <v/>
      </c>
      <c r="R77" s="127" t="n"/>
    </row>
    <row r="78">
      <c r="B78" s="130" t="n"/>
      <c r="C78" s="100" t="n"/>
      <c r="D78" s="100" t="n"/>
      <c r="E78" s="96">
        <f>IF($D78="","",IFERROR(INDEX(INVENTARIO!$C$7:$C$26,MATCH($D78,INVENTARIO!$B$7:$B$26,0)),"⚠ ID no existe"))</f>
        <v/>
      </c>
      <c r="F78" s="128" t="n"/>
      <c r="G78" s="129" t="n"/>
      <c r="H78" s="112">
        <f>IF($D78="","",IF($G78="",IFERROR(INDEX(INVENTARIO!$N$7:$N$26,MATCH($D78,INVENTARIO!$B$7:$B$26,0)),""),$G78))</f>
        <v/>
      </c>
      <c r="I78" s="114">
        <f>IF($D78="","",N($F78)*IF(ISNUMBER($H78),$H78,0))</f>
        <v/>
      </c>
      <c r="J78" s="115">
        <f>IF($D78="","",IFERROR(IF(INDEX(INVENTARIO!$O$7:$O$26,MATCH($D78,INVENTARIO!$B$7:$B$26,0))="",CFG_WALMART,INDEX(INVENTARIO!$O$7:$O$26,MATCH($D78,INVENTARIO!$B$7:$B$26,0))),CFG_WALMART))</f>
        <v/>
      </c>
      <c r="K78" s="112">
        <f>IF($D78="","",$I78*$J78)</f>
        <v/>
      </c>
      <c r="L78" s="129" t="n"/>
      <c r="M78" s="114">
        <f>IF($D78="","",$I78-$K78-N($L78))</f>
        <v/>
      </c>
      <c r="N78" s="113">
        <f>IF($D78="","",IFERROR(INDEX(INVENTARIO!$L$7:$L$26,MATCH($D78,INVENTARIO!$B$7:$B$26,0))*1,0))</f>
        <v/>
      </c>
      <c r="O78" s="112">
        <f>IF($D78="","",N($F78)*$N78)</f>
        <v/>
      </c>
      <c r="P78" s="114">
        <f>IF($D78="","",$M78-$O78)</f>
        <v/>
      </c>
      <c r="Q78" s="115">
        <f>IF($D78="","",IF($I78&gt;0,$P78/$I78,""))</f>
        <v/>
      </c>
      <c r="R78" s="127" t="n"/>
    </row>
    <row r="79">
      <c r="B79" s="130" t="n"/>
      <c r="C79" s="100" t="n"/>
      <c r="D79" s="100" t="n"/>
      <c r="E79" s="96">
        <f>IF($D79="","",IFERROR(INDEX(INVENTARIO!$C$7:$C$26,MATCH($D79,INVENTARIO!$B$7:$B$26,0)),"⚠ ID no existe"))</f>
        <v/>
      </c>
      <c r="F79" s="128" t="n"/>
      <c r="G79" s="129" t="n"/>
      <c r="H79" s="112">
        <f>IF($D79="","",IF($G79="",IFERROR(INDEX(INVENTARIO!$N$7:$N$26,MATCH($D79,INVENTARIO!$B$7:$B$26,0)),""),$G79))</f>
        <v/>
      </c>
      <c r="I79" s="114">
        <f>IF($D79="","",N($F79)*IF(ISNUMBER($H79),$H79,0))</f>
        <v/>
      </c>
      <c r="J79" s="115">
        <f>IF($D79="","",IFERROR(IF(INDEX(INVENTARIO!$O$7:$O$26,MATCH($D79,INVENTARIO!$B$7:$B$26,0))="",CFG_WALMART,INDEX(INVENTARIO!$O$7:$O$26,MATCH($D79,INVENTARIO!$B$7:$B$26,0))),CFG_WALMART))</f>
        <v/>
      </c>
      <c r="K79" s="112">
        <f>IF($D79="","",$I79*$J79)</f>
        <v/>
      </c>
      <c r="L79" s="129" t="n"/>
      <c r="M79" s="114">
        <f>IF($D79="","",$I79-$K79-N($L79))</f>
        <v/>
      </c>
      <c r="N79" s="113">
        <f>IF($D79="","",IFERROR(INDEX(INVENTARIO!$L$7:$L$26,MATCH($D79,INVENTARIO!$B$7:$B$26,0))*1,0))</f>
        <v/>
      </c>
      <c r="O79" s="112">
        <f>IF($D79="","",N($F79)*$N79)</f>
        <v/>
      </c>
      <c r="P79" s="114">
        <f>IF($D79="","",$M79-$O79)</f>
        <v/>
      </c>
      <c r="Q79" s="115">
        <f>IF($D79="","",IF($I79&gt;0,$P79/$I79,""))</f>
        <v/>
      </c>
      <c r="R79" s="127" t="n"/>
    </row>
    <row r="80">
      <c r="B80" s="130" t="n"/>
      <c r="C80" s="100" t="n"/>
      <c r="D80" s="100" t="n"/>
      <c r="E80" s="96">
        <f>IF($D80="","",IFERROR(INDEX(INVENTARIO!$C$7:$C$26,MATCH($D80,INVENTARIO!$B$7:$B$26,0)),"⚠ ID no existe"))</f>
        <v/>
      </c>
      <c r="F80" s="128" t="n"/>
      <c r="G80" s="129" t="n"/>
      <c r="H80" s="112">
        <f>IF($D80="","",IF($G80="",IFERROR(INDEX(INVENTARIO!$N$7:$N$26,MATCH($D80,INVENTARIO!$B$7:$B$26,0)),""),$G80))</f>
        <v/>
      </c>
      <c r="I80" s="114">
        <f>IF($D80="","",N($F80)*IF(ISNUMBER($H80),$H80,0))</f>
        <v/>
      </c>
      <c r="J80" s="115">
        <f>IF($D80="","",IFERROR(IF(INDEX(INVENTARIO!$O$7:$O$26,MATCH($D80,INVENTARIO!$B$7:$B$26,0))="",CFG_WALMART,INDEX(INVENTARIO!$O$7:$O$26,MATCH($D80,INVENTARIO!$B$7:$B$26,0))),CFG_WALMART))</f>
        <v/>
      </c>
      <c r="K80" s="112">
        <f>IF($D80="","",$I80*$J80)</f>
        <v/>
      </c>
      <c r="L80" s="129" t="n"/>
      <c r="M80" s="114">
        <f>IF($D80="","",$I80-$K80-N($L80))</f>
        <v/>
      </c>
      <c r="N80" s="113">
        <f>IF($D80="","",IFERROR(INDEX(INVENTARIO!$L$7:$L$26,MATCH($D80,INVENTARIO!$B$7:$B$26,0))*1,0))</f>
        <v/>
      </c>
      <c r="O80" s="112">
        <f>IF($D80="","",N($F80)*$N80)</f>
        <v/>
      </c>
      <c r="P80" s="114">
        <f>IF($D80="","",$M80-$O80)</f>
        <v/>
      </c>
      <c r="Q80" s="115">
        <f>IF($D80="","",IF($I80&gt;0,$P80/$I80,""))</f>
        <v/>
      </c>
      <c r="R80" s="127" t="n"/>
    </row>
    <row r="81">
      <c r="B81" s="130" t="n"/>
      <c r="C81" s="100" t="n"/>
      <c r="D81" s="100" t="n"/>
      <c r="E81" s="96">
        <f>IF($D81="","",IFERROR(INDEX(INVENTARIO!$C$7:$C$26,MATCH($D81,INVENTARIO!$B$7:$B$26,0)),"⚠ ID no existe"))</f>
        <v/>
      </c>
      <c r="F81" s="128" t="n"/>
      <c r="G81" s="129" t="n"/>
      <c r="H81" s="112">
        <f>IF($D81="","",IF($G81="",IFERROR(INDEX(INVENTARIO!$N$7:$N$26,MATCH($D81,INVENTARIO!$B$7:$B$26,0)),""),$G81))</f>
        <v/>
      </c>
      <c r="I81" s="114">
        <f>IF($D81="","",N($F81)*IF(ISNUMBER($H81),$H81,0))</f>
        <v/>
      </c>
      <c r="J81" s="115">
        <f>IF($D81="","",IFERROR(IF(INDEX(INVENTARIO!$O$7:$O$26,MATCH($D81,INVENTARIO!$B$7:$B$26,0))="",CFG_WALMART,INDEX(INVENTARIO!$O$7:$O$26,MATCH($D81,INVENTARIO!$B$7:$B$26,0))),CFG_WALMART))</f>
        <v/>
      </c>
      <c r="K81" s="112">
        <f>IF($D81="","",$I81*$J81)</f>
        <v/>
      </c>
      <c r="L81" s="129" t="n"/>
      <c r="M81" s="114">
        <f>IF($D81="","",$I81-$K81-N($L81))</f>
        <v/>
      </c>
      <c r="N81" s="113">
        <f>IF($D81="","",IFERROR(INDEX(INVENTARIO!$L$7:$L$26,MATCH($D81,INVENTARIO!$B$7:$B$26,0))*1,0))</f>
        <v/>
      </c>
      <c r="O81" s="112">
        <f>IF($D81="","",N($F81)*$N81)</f>
        <v/>
      </c>
      <c r="P81" s="114">
        <f>IF($D81="","",$M81-$O81)</f>
        <v/>
      </c>
      <c r="Q81" s="115">
        <f>IF($D81="","",IF($I81&gt;0,$P81/$I81,""))</f>
        <v/>
      </c>
      <c r="R81" s="127" t="n"/>
    </row>
    <row r="82">
      <c r="B82" s="130" t="n"/>
      <c r="C82" s="100" t="n"/>
      <c r="D82" s="100" t="n"/>
      <c r="E82" s="96">
        <f>IF($D82="","",IFERROR(INDEX(INVENTARIO!$C$7:$C$26,MATCH($D82,INVENTARIO!$B$7:$B$26,0)),"⚠ ID no existe"))</f>
        <v/>
      </c>
      <c r="F82" s="128" t="n"/>
      <c r="G82" s="129" t="n"/>
      <c r="H82" s="112">
        <f>IF($D82="","",IF($G82="",IFERROR(INDEX(INVENTARIO!$N$7:$N$26,MATCH($D82,INVENTARIO!$B$7:$B$26,0)),""),$G82))</f>
        <v/>
      </c>
      <c r="I82" s="114">
        <f>IF($D82="","",N($F82)*IF(ISNUMBER($H82),$H82,0))</f>
        <v/>
      </c>
      <c r="J82" s="115">
        <f>IF($D82="","",IFERROR(IF(INDEX(INVENTARIO!$O$7:$O$26,MATCH($D82,INVENTARIO!$B$7:$B$26,0))="",CFG_WALMART,INDEX(INVENTARIO!$O$7:$O$26,MATCH($D82,INVENTARIO!$B$7:$B$26,0))),CFG_WALMART))</f>
        <v/>
      </c>
      <c r="K82" s="112">
        <f>IF($D82="","",$I82*$J82)</f>
        <v/>
      </c>
      <c r="L82" s="129" t="n"/>
      <c r="M82" s="114">
        <f>IF($D82="","",$I82-$K82-N($L82))</f>
        <v/>
      </c>
      <c r="N82" s="113">
        <f>IF($D82="","",IFERROR(INDEX(INVENTARIO!$L$7:$L$26,MATCH($D82,INVENTARIO!$B$7:$B$26,0))*1,0))</f>
        <v/>
      </c>
      <c r="O82" s="112">
        <f>IF($D82="","",N($F82)*$N82)</f>
        <v/>
      </c>
      <c r="P82" s="114">
        <f>IF($D82="","",$M82-$O82)</f>
        <v/>
      </c>
      <c r="Q82" s="115">
        <f>IF($D82="","",IF($I82&gt;0,$P82/$I82,""))</f>
        <v/>
      </c>
      <c r="R82" s="127" t="n"/>
    </row>
    <row r="83">
      <c r="B83" s="130" t="n"/>
      <c r="C83" s="100" t="n"/>
      <c r="D83" s="100" t="n"/>
      <c r="E83" s="96">
        <f>IF($D83="","",IFERROR(INDEX(INVENTARIO!$C$7:$C$26,MATCH($D83,INVENTARIO!$B$7:$B$26,0)),"⚠ ID no existe"))</f>
        <v/>
      </c>
      <c r="F83" s="128" t="n"/>
      <c r="G83" s="129" t="n"/>
      <c r="H83" s="112">
        <f>IF($D83="","",IF($G83="",IFERROR(INDEX(INVENTARIO!$N$7:$N$26,MATCH($D83,INVENTARIO!$B$7:$B$26,0)),""),$G83))</f>
        <v/>
      </c>
      <c r="I83" s="114">
        <f>IF($D83="","",N($F83)*IF(ISNUMBER($H83),$H83,0))</f>
        <v/>
      </c>
      <c r="J83" s="115">
        <f>IF($D83="","",IFERROR(IF(INDEX(INVENTARIO!$O$7:$O$26,MATCH($D83,INVENTARIO!$B$7:$B$26,0))="",CFG_WALMART,INDEX(INVENTARIO!$O$7:$O$26,MATCH($D83,INVENTARIO!$B$7:$B$26,0))),CFG_WALMART))</f>
        <v/>
      </c>
      <c r="K83" s="112">
        <f>IF($D83="","",$I83*$J83)</f>
        <v/>
      </c>
      <c r="L83" s="129" t="n"/>
      <c r="M83" s="114">
        <f>IF($D83="","",$I83-$K83-N($L83))</f>
        <v/>
      </c>
      <c r="N83" s="113">
        <f>IF($D83="","",IFERROR(INDEX(INVENTARIO!$L$7:$L$26,MATCH($D83,INVENTARIO!$B$7:$B$26,0))*1,0))</f>
        <v/>
      </c>
      <c r="O83" s="112">
        <f>IF($D83="","",N($F83)*$N83)</f>
        <v/>
      </c>
      <c r="P83" s="114">
        <f>IF($D83="","",$M83-$O83)</f>
        <v/>
      </c>
      <c r="Q83" s="115">
        <f>IF($D83="","",IF($I83&gt;0,$P83/$I83,""))</f>
        <v/>
      </c>
      <c r="R83" s="127" t="n"/>
    </row>
    <row r="84">
      <c r="B84" s="130" t="n"/>
      <c r="C84" s="100" t="n"/>
      <c r="D84" s="100" t="n"/>
      <c r="E84" s="96">
        <f>IF($D84="","",IFERROR(INDEX(INVENTARIO!$C$7:$C$26,MATCH($D84,INVENTARIO!$B$7:$B$26,0)),"⚠ ID no existe"))</f>
        <v/>
      </c>
      <c r="F84" s="128" t="n"/>
      <c r="G84" s="129" t="n"/>
      <c r="H84" s="112">
        <f>IF($D84="","",IF($G84="",IFERROR(INDEX(INVENTARIO!$N$7:$N$26,MATCH($D84,INVENTARIO!$B$7:$B$26,0)),""),$G84))</f>
        <v/>
      </c>
      <c r="I84" s="114">
        <f>IF($D84="","",N($F84)*IF(ISNUMBER($H84),$H84,0))</f>
        <v/>
      </c>
      <c r="J84" s="115">
        <f>IF($D84="","",IFERROR(IF(INDEX(INVENTARIO!$O$7:$O$26,MATCH($D84,INVENTARIO!$B$7:$B$26,0))="",CFG_WALMART,INDEX(INVENTARIO!$O$7:$O$26,MATCH($D84,INVENTARIO!$B$7:$B$26,0))),CFG_WALMART))</f>
        <v/>
      </c>
      <c r="K84" s="112">
        <f>IF($D84="","",$I84*$J84)</f>
        <v/>
      </c>
      <c r="L84" s="129" t="n"/>
      <c r="M84" s="114">
        <f>IF($D84="","",$I84-$K84-N($L84))</f>
        <v/>
      </c>
      <c r="N84" s="113">
        <f>IF($D84="","",IFERROR(INDEX(INVENTARIO!$L$7:$L$26,MATCH($D84,INVENTARIO!$B$7:$B$26,0))*1,0))</f>
        <v/>
      </c>
      <c r="O84" s="112">
        <f>IF($D84="","",N($F84)*$N84)</f>
        <v/>
      </c>
      <c r="P84" s="114">
        <f>IF($D84="","",$M84-$O84)</f>
        <v/>
      </c>
      <c r="Q84" s="115">
        <f>IF($D84="","",IF($I84&gt;0,$P84/$I84,""))</f>
        <v/>
      </c>
      <c r="R84" s="127" t="n"/>
    </row>
    <row r="85">
      <c r="B85" s="130" t="n"/>
      <c r="C85" s="100" t="n"/>
      <c r="D85" s="100" t="n"/>
      <c r="E85" s="96">
        <f>IF($D85="","",IFERROR(INDEX(INVENTARIO!$C$7:$C$26,MATCH($D85,INVENTARIO!$B$7:$B$26,0)),"⚠ ID no existe"))</f>
        <v/>
      </c>
      <c r="F85" s="128" t="n"/>
      <c r="G85" s="129" t="n"/>
      <c r="H85" s="112">
        <f>IF($D85="","",IF($G85="",IFERROR(INDEX(INVENTARIO!$N$7:$N$26,MATCH($D85,INVENTARIO!$B$7:$B$26,0)),""),$G85))</f>
        <v/>
      </c>
      <c r="I85" s="114">
        <f>IF($D85="","",N($F85)*IF(ISNUMBER($H85),$H85,0))</f>
        <v/>
      </c>
      <c r="J85" s="115">
        <f>IF($D85="","",IFERROR(IF(INDEX(INVENTARIO!$O$7:$O$26,MATCH($D85,INVENTARIO!$B$7:$B$26,0))="",CFG_WALMART,INDEX(INVENTARIO!$O$7:$O$26,MATCH($D85,INVENTARIO!$B$7:$B$26,0))),CFG_WALMART))</f>
        <v/>
      </c>
      <c r="K85" s="112">
        <f>IF($D85="","",$I85*$J85)</f>
        <v/>
      </c>
      <c r="L85" s="129" t="n"/>
      <c r="M85" s="114">
        <f>IF($D85="","",$I85-$K85-N($L85))</f>
        <v/>
      </c>
      <c r="N85" s="113">
        <f>IF($D85="","",IFERROR(INDEX(INVENTARIO!$L$7:$L$26,MATCH($D85,INVENTARIO!$B$7:$B$26,0))*1,0))</f>
        <v/>
      </c>
      <c r="O85" s="112">
        <f>IF($D85="","",N($F85)*$N85)</f>
        <v/>
      </c>
      <c r="P85" s="114">
        <f>IF($D85="","",$M85-$O85)</f>
        <v/>
      </c>
      <c r="Q85" s="115">
        <f>IF($D85="","",IF($I85&gt;0,$P85/$I85,""))</f>
        <v/>
      </c>
      <c r="R85" s="127" t="n"/>
    </row>
    <row r="86">
      <c r="B86" s="130" t="n"/>
      <c r="C86" s="100" t="n"/>
      <c r="D86" s="100" t="n"/>
      <c r="E86" s="96">
        <f>IF($D86="","",IFERROR(INDEX(INVENTARIO!$C$7:$C$26,MATCH($D86,INVENTARIO!$B$7:$B$26,0)),"⚠ ID no existe"))</f>
        <v/>
      </c>
      <c r="F86" s="128" t="n"/>
      <c r="G86" s="129" t="n"/>
      <c r="H86" s="112">
        <f>IF($D86="","",IF($G86="",IFERROR(INDEX(INVENTARIO!$N$7:$N$26,MATCH($D86,INVENTARIO!$B$7:$B$26,0)),""),$G86))</f>
        <v/>
      </c>
      <c r="I86" s="114">
        <f>IF($D86="","",N($F86)*IF(ISNUMBER($H86),$H86,0))</f>
        <v/>
      </c>
      <c r="J86" s="115">
        <f>IF($D86="","",IFERROR(IF(INDEX(INVENTARIO!$O$7:$O$26,MATCH($D86,INVENTARIO!$B$7:$B$26,0))="",CFG_WALMART,INDEX(INVENTARIO!$O$7:$O$26,MATCH($D86,INVENTARIO!$B$7:$B$26,0))),CFG_WALMART))</f>
        <v/>
      </c>
      <c r="K86" s="112">
        <f>IF($D86="","",$I86*$J86)</f>
        <v/>
      </c>
      <c r="L86" s="129" t="n"/>
      <c r="M86" s="114">
        <f>IF($D86="","",$I86-$K86-N($L86))</f>
        <v/>
      </c>
      <c r="N86" s="113">
        <f>IF($D86="","",IFERROR(INDEX(INVENTARIO!$L$7:$L$26,MATCH($D86,INVENTARIO!$B$7:$B$26,0))*1,0))</f>
        <v/>
      </c>
      <c r="O86" s="112">
        <f>IF($D86="","",N($F86)*$N86)</f>
        <v/>
      </c>
      <c r="P86" s="114">
        <f>IF($D86="","",$M86-$O86)</f>
        <v/>
      </c>
      <c r="Q86" s="115">
        <f>IF($D86="","",IF($I86&gt;0,$P86/$I86,""))</f>
        <v/>
      </c>
      <c r="R86" s="127" t="n"/>
    </row>
    <row r="87">
      <c r="B87" s="130" t="n"/>
      <c r="C87" s="100" t="n"/>
      <c r="D87" s="100" t="n"/>
      <c r="E87" s="96">
        <f>IF($D87="","",IFERROR(INDEX(INVENTARIO!$C$7:$C$26,MATCH($D87,INVENTARIO!$B$7:$B$26,0)),"⚠ ID no existe"))</f>
        <v/>
      </c>
      <c r="F87" s="128" t="n"/>
      <c r="G87" s="129" t="n"/>
      <c r="H87" s="112">
        <f>IF($D87="","",IF($G87="",IFERROR(INDEX(INVENTARIO!$N$7:$N$26,MATCH($D87,INVENTARIO!$B$7:$B$26,0)),""),$G87))</f>
        <v/>
      </c>
      <c r="I87" s="114">
        <f>IF($D87="","",N($F87)*IF(ISNUMBER($H87),$H87,0))</f>
        <v/>
      </c>
      <c r="J87" s="115">
        <f>IF($D87="","",IFERROR(IF(INDEX(INVENTARIO!$O$7:$O$26,MATCH($D87,INVENTARIO!$B$7:$B$26,0))="",CFG_WALMART,INDEX(INVENTARIO!$O$7:$O$26,MATCH($D87,INVENTARIO!$B$7:$B$26,0))),CFG_WALMART))</f>
        <v/>
      </c>
      <c r="K87" s="112">
        <f>IF($D87="","",$I87*$J87)</f>
        <v/>
      </c>
      <c r="L87" s="129" t="n"/>
      <c r="M87" s="114">
        <f>IF($D87="","",$I87-$K87-N($L87))</f>
        <v/>
      </c>
      <c r="N87" s="113">
        <f>IF($D87="","",IFERROR(INDEX(INVENTARIO!$L$7:$L$26,MATCH($D87,INVENTARIO!$B$7:$B$26,0))*1,0))</f>
        <v/>
      </c>
      <c r="O87" s="112">
        <f>IF($D87="","",N($F87)*$N87)</f>
        <v/>
      </c>
      <c r="P87" s="114">
        <f>IF($D87="","",$M87-$O87)</f>
        <v/>
      </c>
      <c r="Q87" s="115">
        <f>IF($D87="","",IF($I87&gt;0,$P87/$I87,""))</f>
        <v/>
      </c>
      <c r="R87" s="127" t="n"/>
    </row>
    <row r="88">
      <c r="B88" s="130" t="n"/>
      <c r="C88" s="100" t="n"/>
      <c r="D88" s="100" t="n"/>
      <c r="E88" s="96">
        <f>IF($D88="","",IFERROR(INDEX(INVENTARIO!$C$7:$C$26,MATCH($D88,INVENTARIO!$B$7:$B$26,0)),"⚠ ID no existe"))</f>
        <v/>
      </c>
      <c r="F88" s="128" t="n"/>
      <c r="G88" s="129" t="n"/>
      <c r="H88" s="112">
        <f>IF($D88="","",IF($G88="",IFERROR(INDEX(INVENTARIO!$N$7:$N$26,MATCH($D88,INVENTARIO!$B$7:$B$26,0)),""),$G88))</f>
        <v/>
      </c>
      <c r="I88" s="114">
        <f>IF($D88="","",N($F88)*IF(ISNUMBER($H88),$H88,0))</f>
        <v/>
      </c>
      <c r="J88" s="115">
        <f>IF($D88="","",IFERROR(IF(INDEX(INVENTARIO!$O$7:$O$26,MATCH($D88,INVENTARIO!$B$7:$B$26,0))="",CFG_WALMART,INDEX(INVENTARIO!$O$7:$O$26,MATCH($D88,INVENTARIO!$B$7:$B$26,0))),CFG_WALMART))</f>
        <v/>
      </c>
      <c r="K88" s="112">
        <f>IF($D88="","",$I88*$J88)</f>
        <v/>
      </c>
      <c r="L88" s="129" t="n"/>
      <c r="M88" s="114">
        <f>IF($D88="","",$I88-$K88-N($L88))</f>
        <v/>
      </c>
      <c r="N88" s="113">
        <f>IF($D88="","",IFERROR(INDEX(INVENTARIO!$L$7:$L$26,MATCH($D88,INVENTARIO!$B$7:$B$26,0))*1,0))</f>
        <v/>
      </c>
      <c r="O88" s="112">
        <f>IF($D88="","",N($F88)*$N88)</f>
        <v/>
      </c>
      <c r="P88" s="114">
        <f>IF($D88="","",$M88-$O88)</f>
        <v/>
      </c>
      <c r="Q88" s="115">
        <f>IF($D88="","",IF($I88&gt;0,$P88/$I88,""))</f>
        <v/>
      </c>
      <c r="R88" s="127" t="n"/>
    </row>
    <row r="89">
      <c r="B89" s="130" t="n"/>
      <c r="C89" s="100" t="n"/>
      <c r="D89" s="100" t="n"/>
      <c r="E89" s="96">
        <f>IF($D89="","",IFERROR(INDEX(INVENTARIO!$C$7:$C$26,MATCH($D89,INVENTARIO!$B$7:$B$26,0)),"⚠ ID no existe"))</f>
        <v/>
      </c>
      <c r="F89" s="128" t="n"/>
      <c r="G89" s="129" t="n"/>
      <c r="H89" s="112">
        <f>IF($D89="","",IF($G89="",IFERROR(INDEX(INVENTARIO!$N$7:$N$26,MATCH($D89,INVENTARIO!$B$7:$B$26,0)),""),$G89))</f>
        <v/>
      </c>
      <c r="I89" s="114">
        <f>IF($D89="","",N($F89)*IF(ISNUMBER($H89),$H89,0))</f>
        <v/>
      </c>
      <c r="J89" s="115">
        <f>IF($D89="","",IFERROR(IF(INDEX(INVENTARIO!$O$7:$O$26,MATCH($D89,INVENTARIO!$B$7:$B$26,0))="",CFG_WALMART,INDEX(INVENTARIO!$O$7:$O$26,MATCH($D89,INVENTARIO!$B$7:$B$26,0))),CFG_WALMART))</f>
        <v/>
      </c>
      <c r="K89" s="112">
        <f>IF($D89="","",$I89*$J89)</f>
        <v/>
      </c>
      <c r="L89" s="129" t="n"/>
      <c r="M89" s="114">
        <f>IF($D89="","",$I89-$K89-N($L89))</f>
        <v/>
      </c>
      <c r="N89" s="113">
        <f>IF($D89="","",IFERROR(INDEX(INVENTARIO!$L$7:$L$26,MATCH($D89,INVENTARIO!$B$7:$B$26,0))*1,0))</f>
        <v/>
      </c>
      <c r="O89" s="112">
        <f>IF($D89="","",N($F89)*$N89)</f>
        <v/>
      </c>
      <c r="P89" s="114">
        <f>IF($D89="","",$M89-$O89)</f>
        <v/>
      </c>
      <c r="Q89" s="115">
        <f>IF($D89="","",IF($I89&gt;0,$P89/$I89,""))</f>
        <v/>
      </c>
      <c r="R89" s="127" t="n"/>
    </row>
    <row r="90">
      <c r="B90" s="130" t="n"/>
      <c r="C90" s="100" t="n"/>
      <c r="D90" s="100" t="n"/>
      <c r="E90" s="96">
        <f>IF($D90="","",IFERROR(INDEX(INVENTARIO!$C$7:$C$26,MATCH($D90,INVENTARIO!$B$7:$B$26,0)),"⚠ ID no existe"))</f>
        <v/>
      </c>
      <c r="F90" s="128" t="n"/>
      <c r="G90" s="129" t="n"/>
      <c r="H90" s="112">
        <f>IF($D90="","",IF($G90="",IFERROR(INDEX(INVENTARIO!$N$7:$N$26,MATCH($D90,INVENTARIO!$B$7:$B$26,0)),""),$G90))</f>
        <v/>
      </c>
      <c r="I90" s="114">
        <f>IF($D90="","",N($F90)*IF(ISNUMBER($H90),$H90,0))</f>
        <v/>
      </c>
      <c r="J90" s="115">
        <f>IF($D90="","",IFERROR(IF(INDEX(INVENTARIO!$O$7:$O$26,MATCH($D90,INVENTARIO!$B$7:$B$26,0))="",CFG_WALMART,INDEX(INVENTARIO!$O$7:$O$26,MATCH($D90,INVENTARIO!$B$7:$B$26,0))),CFG_WALMART))</f>
        <v/>
      </c>
      <c r="K90" s="112">
        <f>IF($D90="","",$I90*$J90)</f>
        <v/>
      </c>
      <c r="L90" s="129" t="n"/>
      <c r="M90" s="114">
        <f>IF($D90="","",$I90-$K90-N($L90))</f>
        <v/>
      </c>
      <c r="N90" s="113">
        <f>IF($D90="","",IFERROR(INDEX(INVENTARIO!$L$7:$L$26,MATCH($D90,INVENTARIO!$B$7:$B$26,0))*1,0))</f>
        <v/>
      </c>
      <c r="O90" s="112">
        <f>IF($D90="","",N($F90)*$N90)</f>
        <v/>
      </c>
      <c r="P90" s="114">
        <f>IF($D90="","",$M90-$O90)</f>
        <v/>
      </c>
      <c r="Q90" s="115">
        <f>IF($D90="","",IF($I90&gt;0,$P90/$I90,""))</f>
        <v/>
      </c>
      <c r="R90" s="127" t="n"/>
    </row>
    <row r="91">
      <c r="B91" s="130" t="n"/>
      <c r="C91" s="100" t="n"/>
      <c r="D91" s="100" t="n"/>
      <c r="E91" s="96">
        <f>IF($D91="","",IFERROR(INDEX(INVENTARIO!$C$7:$C$26,MATCH($D91,INVENTARIO!$B$7:$B$26,0)),"⚠ ID no existe"))</f>
        <v/>
      </c>
      <c r="F91" s="128" t="n"/>
      <c r="G91" s="129" t="n"/>
      <c r="H91" s="112">
        <f>IF($D91="","",IF($G91="",IFERROR(INDEX(INVENTARIO!$N$7:$N$26,MATCH($D91,INVENTARIO!$B$7:$B$26,0)),""),$G91))</f>
        <v/>
      </c>
      <c r="I91" s="114">
        <f>IF($D91="","",N($F91)*IF(ISNUMBER($H91),$H91,0))</f>
        <v/>
      </c>
      <c r="J91" s="115">
        <f>IF($D91="","",IFERROR(IF(INDEX(INVENTARIO!$O$7:$O$26,MATCH($D91,INVENTARIO!$B$7:$B$26,0))="",CFG_WALMART,INDEX(INVENTARIO!$O$7:$O$26,MATCH($D91,INVENTARIO!$B$7:$B$26,0))),CFG_WALMART))</f>
        <v/>
      </c>
      <c r="K91" s="112">
        <f>IF($D91="","",$I91*$J91)</f>
        <v/>
      </c>
      <c r="L91" s="129" t="n"/>
      <c r="M91" s="114">
        <f>IF($D91="","",$I91-$K91-N($L91))</f>
        <v/>
      </c>
      <c r="N91" s="113">
        <f>IF($D91="","",IFERROR(INDEX(INVENTARIO!$L$7:$L$26,MATCH($D91,INVENTARIO!$B$7:$B$26,0))*1,0))</f>
        <v/>
      </c>
      <c r="O91" s="112">
        <f>IF($D91="","",N($F91)*$N91)</f>
        <v/>
      </c>
      <c r="P91" s="114">
        <f>IF($D91="","",$M91-$O91)</f>
        <v/>
      </c>
      <c r="Q91" s="115">
        <f>IF($D91="","",IF($I91&gt;0,$P91/$I91,""))</f>
        <v/>
      </c>
      <c r="R91" s="127" t="n"/>
    </row>
    <row r="92">
      <c r="B92" s="130" t="n"/>
      <c r="C92" s="100" t="n"/>
      <c r="D92" s="100" t="n"/>
      <c r="E92" s="96">
        <f>IF($D92="","",IFERROR(INDEX(INVENTARIO!$C$7:$C$26,MATCH($D92,INVENTARIO!$B$7:$B$26,0)),"⚠ ID no existe"))</f>
        <v/>
      </c>
      <c r="F92" s="128" t="n"/>
      <c r="G92" s="129" t="n"/>
      <c r="H92" s="112">
        <f>IF($D92="","",IF($G92="",IFERROR(INDEX(INVENTARIO!$N$7:$N$26,MATCH($D92,INVENTARIO!$B$7:$B$26,0)),""),$G92))</f>
        <v/>
      </c>
      <c r="I92" s="114">
        <f>IF($D92="","",N($F92)*IF(ISNUMBER($H92),$H92,0))</f>
        <v/>
      </c>
      <c r="J92" s="115">
        <f>IF($D92="","",IFERROR(IF(INDEX(INVENTARIO!$O$7:$O$26,MATCH($D92,INVENTARIO!$B$7:$B$26,0))="",CFG_WALMART,INDEX(INVENTARIO!$O$7:$O$26,MATCH($D92,INVENTARIO!$B$7:$B$26,0))),CFG_WALMART))</f>
        <v/>
      </c>
      <c r="K92" s="112">
        <f>IF($D92="","",$I92*$J92)</f>
        <v/>
      </c>
      <c r="L92" s="129" t="n"/>
      <c r="M92" s="114">
        <f>IF($D92="","",$I92-$K92-N($L92))</f>
        <v/>
      </c>
      <c r="N92" s="113">
        <f>IF($D92="","",IFERROR(INDEX(INVENTARIO!$L$7:$L$26,MATCH($D92,INVENTARIO!$B$7:$B$26,0))*1,0))</f>
        <v/>
      </c>
      <c r="O92" s="112">
        <f>IF($D92="","",N($F92)*$N92)</f>
        <v/>
      </c>
      <c r="P92" s="114">
        <f>IF($D92="","",$M92-$O92)</f>
        <v/>
      </c>
      <c r="Q92" s="115">
        <f>IF($D92="","",IF($I92&gt;0,$P92/$I92,""))</f>
        <v/>
      </c>
      <c r="R92" s="127" t="n"/>
    </row>
    <row r="93">
      <c r="B93" s="130" t="n"/>
      <c r="C93" s="100" t="n"/>
      <c r="D93" s="100" t="n"/>
      <c r="E93" s="96">
        <f>IF($D93="","",IFERROR(INDEX(INVENTARIO!$C$7:$C$26,MATCH($D93,INVENTARIO!$B$7:$B$26,0)),"⚠ ID no existe"))</f>
        <v/>
      </c>
      <c r="F93" s="128" t="n"/>
      <c r="G93" s="129" t="n"/>
      <c r="H93" s="112">
        <f>IF($D93="","",IF($G93="",IFERROR(INDEX(INVENTARIO!$N$7:$N$26,MATCH($D93,INVENTARIO!$B$7:$B$26,0)),""),$G93))</f>
        <v/>
      </c>
      <c r="I93" s="114">
        <f>IF($D93="","",N($F93)*IF(ISNUMBER($H93),$H93,0))</f>
        <v/>
      </c>
      <c r="J93" s="115">
        <f>IF($D93="","",IFERROR(IF(INDEX(INVENTARIO!$O$7:$O$26,MATCH($D93,INVENTARIO!$B$7:$B$26,0))="",CFG_WALMART,INDEX(INVENTARIO!$O$7:$O$26,MATCH($D93,INVENTARIO!$B$7:$B$26,0))),CFG_WALMART))</f>
        <v/>
      </c>
      <c r="K93" s="112">
        <f>IF($D93="","",$I93*$J93)</f>
        <v/>
      </c>
      <c r="L93" s="129" t="n"/>
      <c r="M93" s="114">
        <f>IF($D93="","",$I93-$K93-N($L93))</f>
        <v/>
      </c>
      <c r="N93" s="113">
        <f>IF($D93="","",IFERROR(INDEX(INVENTARIO!$L$7:$L$26,MATCH($D93,INVENTARIO!$B$7:$B$26,0))*1,0))</f>
        <v/>
      </c>
      <c r="O93" s="112">
        <f>IF($D93="","",N($F93)*$N93)</f>
        <v/>
      </c>
      <c r="P93" s="114">
        <f>IF($D93="","",$M93-$O93)</f>
        <v/>
      </c>
      <c r="Q93" s="115">
        <f>IF($D93="","",IF($I93&gt;0,$P93/$I93,""))</f>
        <v/>
      </c>
      <c r="R93" s="127" t="n"/>
    </row>
    <row r="94">
      <c r="B94" s="130" t="n"/>
      <c r="C94" s="100" t="n"/>
      <c r="D94" s="100" t="n"/>
      <c r="E94" s="96">
        <f>IF($D94="","",IFERROR(INDEX(INVENTARIO!$C$7:$C$26,MATCH($D94,INVENTARIO!$B$7:$B$26,0)),"⚠ ID no existe"))</f>
        <v/>
      </c>
      <c r="F94" s="128" t="n"/>
      <c r="G94" s="129" t="n"/>
      <c r="H94" s="112">
        <f>IF($D94="","",IF($G94="",IFERROR(INDEX(INVENTARIO!$N$7:$N$26,MATCH($D94,INVENTARIO!$B$7:$B$26,0)),""),$G94))</f>
        <v/>
      </c>
      <c r="I94" s="114">
        <f>IF($D94="","",N($F94)*IF(ISNUMBER($H94),$H94,0))</f>
        <v/>
      </c>
      <c r="J94" s="115">
        <f>IF($D94="","",IFERROR(IF(INDEX(INVENTARIO!$O$7:$O$26,MATCH($D94,INVENTARIO!$B$7:$B$26,0))="",CFG_WALMART,INDEX(INVENTARIO!$O$7:$O$26,MATCH($D94,INVENTARIO!$B$7:$B$26,0))),CFG_WALMART))</f>
        <v/>
      </c>
      <c r="K94" s="112">
        <f>IF($D94="","",$I94*$J94)</f>
        <v/>
      </c>
      <c r="L94" s="129" t="n"/>
      <c r="M94" s="114">
        <f>IF($D94="","",$I94-$K94-N($L94))</f>
        <v/>
      </c>
      <c r="N94" s="113">
        <f>IF($D94="","",IFERROR(INDEX(INVENTARIO!$L$7:$L$26,MATCH($D94,INVENTARIO!$B$7:$B$26,0))*1,0))</f>
        <v/>
      </c>
      <c r="O94" s="112">
        <f>IF($D94="","",N($F94)*$N94)</f>
        <v/>
      </c>
      <c r="P94" s="114">
        <f>IF($D94="","",$M94-$O94)</f>
        <v/>
      </c>
      <c r="Q94" s="115">
        <f>IF($D94="","",IF($I94&gt;0,$P94/$I94,""))</f>
        <v/>
      </c>
      <c r="R94" s="127" t="n"/>
    </row>
    <row r="95">
      <c r="B95" s="130" t="n"/>
      <c r="C95" s="100" t="n"/>
      <c r="D95" s="100" t="n"/>
      <c r="E95" s="96">
        <f>IF($D95="","",IFERROR(INDEX(INVENTARIO!$C$7:$C$26,MATCH($D95,INVENTARIO!$B$7:$B$26,0)),"⚠ ID no existe"))</f>
        <v/>
      </c>
      <c r="F95" s="128" t="n"/>
      <c r="G95" s="129" t="n"/>
      <c r="H95" s="112">
        <f>IF($D95="","",IF($G95="",IFERROR(INDEX(INVENTARIO!$N$7:$N$26,MATCH($D95,INVENTARIO!$B$7:$B$26,0)),""),$G95))</f>
        <v/>
      </c>
      <c r="I95" s="114">
        <f>IF($D95="","",N($F95)*IF(ISNUMBER($H95),$H95,0))</f>
        <v/>
      </c>
      <c r="J95" s="115">
        <f>IF($D95="","",IFERROR(IF(INDEX(INVENTARIO!$O$7:$O$26,MATCH($D95,INVENTARIO!$B$7:$B$26,0))="",CFG_WALMART,INDEX(INVENTARIO!$O$7:$O$26,MATCH($D95,INVENTARIO!$B$7:$B$26,0))),CFG_WALMART))</f>
        <v/>
      </c>
      <c r="K95" s="112">
        <f>IF($D95="","",$I95*$J95)</f>
        <v/>
      </c>
      <c r="L95" s="129" t="n"/>
      <c r="M95" s="114">
        <f>IF($D95="","",$I95-$K95-N($L95))</f>
        <v/>
      </c>
      <c r="N95" s="113">
        <f>IF($D95="","",IFERROR(INDEX(INVENTARIO!$L$7:$L$26,MATCH($D95,INVENTARIO!$B$7:$B$26,0))*1,0))</f>
        <v/>
      </c>
      <c r="O95" s="112">
        <f>IF($D95="","",N($F95)*$N95)</f>
        <v/>
      </c>
      <c r="P95" s="114">
        <f>IF($D95="","",$M95-$O95)</f>
        <v/>
      </c>
      <c r="Q95" s="115">
        <f>IF($D95="","",IF($I95&gt;0,$P95/$I95,""))</f>
        <v/>
      </c>
      <c r="R95" s="127" t="n"/>
    </row>
    <row r="96">
      <c r="B96" s="130" t="n"/>
      <c r="C96" s="100" t="n"/>
      <c r="D96" s="100" t="n"/>
      <c r="E96" s="96">
        <f>IF($D96="","",IFERROR(INDEX(INVENTARIO!$C$7:$C$26,MATCH($D96,INVENTARIO!$B$7:$B$26,0)),"⚠ ID no existe"))</f>
        <v/>
      </c>
      <c r="F96" s="128" t="n"/>
      <c r="G96" s="129" t="n"/>
      <c r="H96" s="112">
        <f>IF($D96="","",IF($G96="",IFERROR(INDEX(INVENTARIO!$N$7:$N$26,MATCH($D96,INVENTARIO!$B$7:$B$26,0)),""),$G96))</f>
        <v/>
      </c>
      <c r="I96" s="114">
        <f>IF($D96="","",N($F96)*IF(ISNUMBER($H96),$H96,0))</f>
        <v/>
      </c>
      <c r="J96" s="115">
        <f>IF($D96="","",IFERROR(IF(INDEX(INVENTARIO!$O$7:$O$26,MATCH($D96,INVENTARIO!$B$7:$B$26,0))="",CFG_WALMART,INDEX(INVENTARIO!$O$7:$O$26,MATCH($D96,INVENTARIO!$B$7:$B$26,0))),CFG_WALMART))</f>
        <v/>
      </c>
      <c r="K96" s="112">
        <f>IF($D96="","",$I96*$J96)</f>
        <v/>
      </c>
      <c r="L96" s="129" t="n"/>
      <c r="M96" s="114">
        <f>IF($D96="","",$I96-$K96-N($L96))</f>
        <v/>
      </c>
      <c r="N96" s="113">
        <f>IF($D96="","",IFERROR(INDEX(INVENTARIO!$L$7:$L$26,MATCH($D96,INVENTARIO!$B$7:$B$26,0))*1,0))</f>
        <v/>
      </c>
      <c r="O96" s="112">
        <f>IF($D96="","",N($F96)*$N96)</f>
        <v/>
      </c>
      <c r="P96" s="114">
        <f>IF($D96="","",$M96-$O96)</f>
        <v/>
      </c>
      <c r="Q96" s="115">
        <f>IF($D96="","",IF($I96&gt;0,$P96/$I96,""))</f>
        <v/>
      </c>
      <c r="R96" s="127" t="n"/>
    </row>
    <row r="97">
      <c r="B97" s="130" t="n"/>
      <c r="C97" s="100" t="n"/>
      <c r="D97" s="100" t="n"/>
      <c r="E97" s="96">
        <f>IF($D97="","",IFERROR(INDEX(INVENTARIO!$C$7:$C$26,MATCH($D97,INVENTARIO!$B$7:$B$26,0)),"⚠ ID no existe"))</f>
        <v/>
      </c>
      <c r="F97" s="128" t="n"/>
      <c r="G97" s="129" t="n"/>
      <c r="H97" s="112">
        <f>IF($D97="","",IF($G97="",IFERROR(INDEX(INVENTARIO!$N$7:$N$26,MATCH($D97,INVENTARIO!$B$7:$B$26,0)),""),$G97))</f>
        <v/>
      </c>
      <c r="I97" s="114">
        <f>IF($D97="","",N($F97)*IF(ISNUMBER($H97),$H97,0))</f>
        <v/>
      </c>
      <c r="J97" s="115">
        <f>IF($D97="","",IFERROR(IF(INDEX(INVENTARIO!$O$7:$O$26,MATCH($D97,INVENTARIO!$B$7:$B$26,0))="",CFG_WALMART,INDEX(INVENTARIO!$O$7:$O$26,MATCH($D97,INVENTARIO!$B$7:$B$26,0))),CFG_WALMART))</f>
        <v/>
      </c>
      <c r="K97" s="112">
        <f>IF($D97="","",$I97*$J97)</f>
        <v/>
      </c>
      <c r="L97" s="129" t="n"/>
      <c r="M97" s="114">
        <f>IF($D97="","",$I97-$K97-N($L97))</f>
        <v/>
      </c>
      <c r="N97" s="113">
        <f>IF($D97="","",IFERROR(INDEX(INVENTARIO!$L$7:$L$26,MATCH($D97,INVENTARIO!$B$7:$B$26,0))*1,0))</f>
        <v/>
      </c>
      <c r="O97" s="112">
        <f>IF($D97="","",N($F97)*$N97)</f>
        <v/>
      </c>
      <c r="P97" s="114">
        <f>IF($D97="","",$M97-$O97)</f>
        <v/>
      </c>
      <c r="Q97" s="115">
        <f>IF($D97="","",IF($I97&gt;0,$P97/$I97,""))</f>
        <v/>
      </c>
      <c r="R97" s="127" t="n"/>
    </row>
    <row r="98">
      <c r="B98" s="130" t="n"/>
      <c r="C98" s="100" t="n"/>
      <c r="D98" s="100" t="n"/>
      <c r="E98" s="96">
        <f>IF($D98="","",IFERROR(INDEX(INVENTARIO!$C$7:$C$26,MATCH($D98,INVENTARIO!$B$7:$B$26,0)),"⚠ ID no existe"))</f>
        <v/>
      </c>
      <c r="F98" s="128" t="n"/>
      <c r="G98" s="129" t="n"/>
      <c r="H98" s="112">
        <f>IF($D98="","",IF($G98="",IFERROR(INDEX(INVENTARIO!$N$7:$N$26,MATCH($D98,INVENTARIO!$B$7:$B$26,0)),""),$G98))</f>
        <v/>
      </c>
      <c r="I98" s="114">
        <f>IF($D98="","",N($F98)*IF(ISNUMBER($H98),$H98,0))</f>
        <v/>
      </c>
      <c r="J98" s="115">
        <f>IF($D98="","",IFERROR(IF(INDEX(INVENTARIO!$O$7:$O$26,MATCH($D98,INVENTARIO!$B$7:$B$26,0))="",CFG_WALMART,INDEX(INVENTARIO!$O$7:$O$26,MATCH($D98,INVENTARIO!$B$7:$B$26,0))),CFG_WALMART))</f>
        <v/>
      </c>
      <c r="K98" s="112">
        <f>IF($D98="","",$I98*$J98)</f>
        <v/>
      </c>
      <c r="L98" s="129" t="n"/>
      <c r="M98" s="114">
        <f>IF($D98="","",$I98-$K98-N($L98))</f>
        <v/>
      </c>
      <c r="N98" s="113">
        <f>IF($D98="","",IFERROR(INDEX(INVENTARIO!$L$7:$L$26,MATCH($D98,INVENTARIO!$B$7:$B$26,0))*1,0))</f>
        <v/>
      </c>
      <c r="O98" s="112">
        <f>IF($D98="","",N($F98)*$N98)</f>
        <v/>
      </c>
      <c r="P98" s="114">
        <f>IF($D98="","",$M98-$O98)</f>
        <v/>
      </c>
      <c r="Q98" s="115">
        <f>IF($D98="","",IF($I98&gt;0,$P98/$I98,""))</f>
        <v/>
      </c>
      <c r="R98" s="127" t="n"/>
    </row>
    <row r="99">
      <c r="B99" s="130" t="n"/>
      <c r="C99" s="100" t="n"/>
      <c r="D99" s="100" t="n"/>
      <c r="E99" s="96">
        <f>IF($D99="","",IFERROR(INDEX(INVENTARIO!$C$7:$C$26,MATCH($D99,INVENTARIO!$B$7:$B$26,0)),"⚠ ID no existe"))</f>
        <v/>
      </c>
      <c r="F99" s="128" t="n"/>
      <c r="G99" s="129" t="n"/>
      <c r="H99" s="112">
        <f>IF($D99="","",IF($G99="",IFERROR(INDEX(INVENTARIO!$N$7:$N$26,MATCH($D99,INVENTARIO!$B$7:$B$26,0)),""),$G99))</f>
        <v/>
      </c>
      <c r="I99" s="114">
        <f>IF($D99="","",N($F99)*IF(ISNUMBER($H99),$H99,0))</f>
        <v/>
      </c>
      <c r="J99" s="115">
        <f>IF($D99="","",IFERROR(IF(INDEX(INVENTARIO!$O$7:$O$26,MATCH($D99,INVENTARIO!$B$7:$B$26,0))="",CFG_WALMART,INDEX(INVENTARIO!$O$7:$O$26,MATCH($D99,INVENTARIO!$B$7:$B$26,0))),CFG_WALMART))</f>
        <v/>
      </c>
      <c r="K99" s="112">
        <f>IF($D99="","",$I99*$J99)</f>
        <v/>
      </c>
      <c r="L99" s="129" t="n"/>
      <c r="M99" s="114">
        <f>IF($D99="","",$I99-$K99-N($L99))</f>
        <v/>
      </c>
      <c r="N99" s="113">
        <f>IF($D99="","",IFERROR(INDEX(INVENTARIO!$L$7:$L$26,MATCH($D99,INVENTARIO!$B$7:$B$26,0))*1,0))</f>
        <v/>
      </c>
      <c r="O99" s="112">
        <f>IF($D99="","",N($F99)*$N99)</f>
        <v/>
      </c>
      <c r="P99" s="114">
        <f>IF($D99="","",$M99-$O99)</f>
        <v/>
      </c>
      <c r="Q99" s="115">
        <f>IF($D99="","",IF($I99&gt;0,$P99/$I99,""))</f>
        <v/>
      </c>
      <c r="R99" s="127" t="n"/>
    </row>
    <row r="100">
      <c r="B100" s="130" t="n"/>
      <c r="C100" s="100" t="n"/>
      <c r="D100" s="100" t="n"/>
      <c r="E100" s="96">
        <f>IF($D100="","",IFERROR(INDEX(INVENTARIO!$C$7:$C$26,MATCH($D100,INVENTARIO!$B$7:$B$26,0)),"⚠ ID no existe"))</f>
        <v/>
      </c>
      <c r="F100" s="128" t="n"/>
      <c r="G100" s="129" t="n"/>
      <c r="H100" s="112">
        <f>IF($D100="","",IF($G100="",IFERROR(INDEX(INVENTARIO!$N$7:$N$26,MATCH($D100,INVENTARIO!$B$7:$B$26,0)),""),$G100))</f>
        <v/>
      </c>
      <c r="I100" s="114">
        <f>IF($D100="","",N($F100)*IF(ISNUMBER($H100),$H100,0))</f>
        <v/>
      </c>
      <c r="J100" s="115">
        <f>IF($D100="","",IFERROR(IF(INDEX(INVENTARIO!$O$7:$O$26,MATCH($D100,INVENTARIO!$B$7:$B$26,0))="",CFG_WALMART,INDEX(INVENTARIO!$O$7:$O$26,MATCH($D100,INVENTARIO!$B$7:$B$26,0))),CFG_WALMART))</f>
        <v/>
      </c>
      <c r="K100" s="112">
        <f>IF($D100="","",$I100*$J100)</f>
        <v/>
      </c>
      <c r="L100" s="129" t="n"/>
      <c r="M100" s="114">
        <f>IF($D100="","",$I100-$K100-N($L100))</f>
        <v/>
      </c>
      <c r="N100" s="113">
        <f>IF($D100="","",IFERROR(INDEX(INVENTARIO!$L$7:$L$26,MATCH($D100,INVENTARIO!$B$7:$B$26,0))*1,0))</f>
        <v/>
      </c>
      <c r="O100" s="112">
        <f>IF($D100="","",N($F100)*$N100)</f>
        <v/>
      </c>
      <c r="P100" s="114">
        <f>IF($D100="","",$M100-$O100)</f>
        <v/>
      </c>
      <c r="Q100" s="115">
        <f>IF($D100="","",IF($I100&gt;0,$P100/$I100,""))</f>
        <v/>
      </c>
      <c r="R100" s="127" t="n"/>
    </row>
    <row r="101">
      <c r="B101" s="130" t="n"/>
      <c r="C101" s="100" t="n"/>
      <c r="D101" s="100" t="n"/>
      <c r="E101" s="96">
        <f>IF($D101="","",IFERROR(INDEX(INVENTARIO!$C$7:$C$26,MATCH($D101,INVENTARIO!$B$7:$B$26,0)),"⚠ ID no existe"))</f>
        <v/>
      </c>
      <c r="F101" s="128" t="n"/>
      <c r="G101" s="129" t="n"/>
      <c r="H101" s="112">
        <f>IF($D101="","",IF($G101="",IFERROR(INDEX(INVENTARIO!$N$7:$N$26,MATCH($D101,INVENTARIO!$B$7:$B$26,0)),""),$G101))</f>
        <v/>
      </c>
      <c r="I101" s="114">
        <f>IF($D101="","",N($F101)*IF(ISNUMBER($H101),$H101,0))</f>
        <v/>
      </c>
      <c r="J101" s="115">
        <f>IF($D101="","",IFERROR(IF(INDEX(INVENTARIO!$O$7:$O$26,MATCH($D101,INVENTARIO!$B$7:$B$26,0))="",CFG_WALMART,INDEX(INVENTARIO!$O$7:$O$26,MATCH($D101,INVENTARIO!$B$7:$B$26,0))),CFG_WALMART))</f>
        <v/>
      </c>
      <c r="K101" s="112">
        <f>IF($D101="","",$I101*$J101)</f>
        <v/>
      </c>
      <c r="L101" s="129" t="n"/>
      <c r="M101" s="114">
        <f>IF($D101="","",$I101-$K101-N($L101))</f>
        <v/>
      </c>
      <c r="N101" s="113">
        <f>IF($D101="","",IFERROR(INDEX(INVENTARIO!$L$7:$L$26,MATCH($D101,INVENTARIO!$B$7:$B$26,0))*1,0))</f>
        <v/>
      </c>
      <c r="O101" s="112">
        <f>IF($D101="","",N($F101)*$N101)</f>
        <v/>
      </c>
      <c r="P101" s="114">
        <f>IF($D101="","",$M101-$O101)</f>
        <v/>
      </c>
      <c r="Q101" s="115">
        <f>IF($D101="","",IF($I101&gt;0,$P101/$I101,""))</f>
        <v/>
      </c>
      <c r="R101" s="127" t="n"/>
    </row>
    <row r="102">
      <c r="B102" s="130" t="n"/>
      <c r="C102" s="100" t="n"/>
      <c r="D102" s="100" t="n"/>
      <c r="E102" s="96">
        <f>IF($D102="","",IFERROR(INDEX(INVENTARIO!$C$7:$C$26,MATCH($D102,INVENTARIO!$B$7:$B$26,0)),"⚠ ID no existe"))</f>
        <v/>
      </c>
      <c r="F102" s="128" t="n"/>
      <c r="G102" s="129" t="n"/>
      <c r="H102" s="112">
        <f>IF($D102="","",IF($G102="",IFERROR(INDEX(INVENTARIO!$N$7:$N$26,MATCH($D102,INVENTARIO!$B$7:$B$26,0)),""),$G102))</f>
        <v/>
      </c>
      <c r="I102" s="114">
        <f>IF($D102="","",N($F102)*IF(ISNUMBER($H102),$H102,0))</f>
        <v/>
      </c>
      <c r="J102" s="115">
        <f>IF($D102="","",IFERROR(IF(INDEX(INVENTARIO!$O$7:$O$26,MATCH($D102,INVENTARIO!$B$7:$B$26,0))="",CFG_WALMART,INDEX(INVENTARIO!$O$7:$O$26,MATCH($D102,INVENTARIO!$B$7:$B$26,0))),CFG_WALMART))</f>
        <v/>
      </c>
      <c r="K102" s="112">
        <f>IF($D102="","",$I102*$J102)</f>
        <v/>
      </c>
      <c r="L102" s="129" t="n"/>
      <c r="M102" s="114">
        <f>IF($D102="","",$I102-$K102-N($L102))</f>
        <v/>
      </c>
      <c r="N102" s="113">
        <f>IF($D102="","",IFERROR(INDEX(INVENTARIO!$L$7:$L$26,MATCH($D102,INVENTARIO!$B$7:$B$26,0))*1,0))</f>
        <v/>
      </c>
      <c r="O102" s="112">
        <f>IF($D102="","",N($F102)*$N102)</f>
        <v/>
      </c>
      <c r="P102" s="114">
        <f>IF($D102="","",$M102-$O102)</f>
        <v/>
      </c>
      <c r="Q102" s="115">
        <f>IF($D102="","",IF($I102&gt;0,$P102/$I102,""))</f>
        <v/>
      </c>
      <c r="R102" s="127" t="n"/>
    </row>
    <row r="103">
      <c r="B103" s="130" t="n"/>
      <c r="C103" s="100" t="n"/>
      <c r="D103" s="100" t="n"/>
      <c r="E103" s="96">
        <f>IF($D103="","",IFERROR(INDEX(INVENTARIO!$C$7:$C$26,MATCH($D103,INVENTARIO!$B$7:$B$26,0)),"⚠ ID no existe"))</f>
        <v/>
      </c>
      <c r="F103" s="128" t="n"/>
      <c r="G103" s="129" t="n"/>
      <c r="H103" s="112">
        <f>IF($D103="","",IF($G103="",IFERROR(INDEX(INVENTARIO!$N$7:$N$26,MATCH($D103,INVENTARIO!$B$7:$B$26,0)),""),$G103))</f>
        <v/>
      </c>
      <c r="I103" s="114">
        <f>IF($D103="","",N($F103)*IF(ISNUMBER($H103),$H103,0))</f>
        <v/>
      </c>
      <c r="J103" s="115">
        <f>IF($D103="","",IFERROR(IF(INDEX(INVENTARIO!$O$7:$O$26,MATCH($D103,INVENTARIO!$B$7:$B$26,0))="",CFG_WALMART,INDEX(INVENTARIO!$O$7:$O$26,MATCH($D103,INVENTARIO!$B$7:$B$26,0))),CFG_WALMART))</f>
        <v/>
      </c>
      <c r="K103" s="112">
        <f>IF($D103="","",$I103*$J103)</f>
        <v/>
      </c>
      <c r="L103" s="129" t="n"/>
      <c r="M103" s="114">
        <f>IF($D103="","",$I103-$K103-N($L103))</f>
        <v/>
      </c>
      <c r="N103" s="113">
        <f>IF($D103="","",IFERROR(INDEX(INVENTARIO!$L$7:$L$26,MATCH($D103,INVENTARIO!$B$7:$B$26,0))*1,0))</f>
        <v/>
      </c>
      <c r="O103" s="112">
        <f>IF($D103="","",N($F103)*$N103)</f>
        <v/>
      </c>
      <c r="P103" s="114">
        <f>IF($D103="","",$M103-$O103)</f>
        <v/>
      </c>
      <c r="Q103" s="115">
        <f>IF($D103="","",IF($I103&gt;0,$P103/$I103,""))</f>
        <v/>
      </c>
      <c r="R103" s="127" t="n"/>
    </row>
    <row r="104">
      <c r="B104" s="130" t="n"/>
      <c r="C104" s="100" t="n"/>
      <c r="D104" s="100" t="n"/>
      <c r="E104" s="96">
        <f>IF($D104="","",IFERROR(INDEX(INVENTARIO!$C$7:$C$26,MATCH($D104,INVENTARIO!$B$7:$B$26,0)),"⚠ ID no existe"))</f>
        <v/>
      </c>
      <c r="F104" s="128" t="n"/>
      <c r="G104" s="129" t="n"/>
      <c r="H104" s="112">
        <f>IF($D104="","",IF($G104="",IFERROR(INDEX(INVENTARIO!$N$7:$N$26,MATCH($D104,INVENTARIO!$B$7:$B$26,0)),""),$G104))</f>
        <v/>
      </c>
      <c r="I104" s="114">
        <f>IF($D104="","",N($F104)*IF(ISNUMBER($H104),$H104,0))</f>
        <v/>
      </c>
      <c r="J104" s="115">
        <f>IF($D104="","",IFERROR(IF(INDEX(INVENTARIO!$O$7:$O$26,MATCH($D104,INVENTARIO!$B$7:$B$26,0))="",CFG_WALMART,INDEX(INVENTARIO!$O$7:$O$26,MATCH($D104,INVENTARIO!$B$7:$B$26,0))),CFG_WALMART))</f>
        <v/>
      </c>
      <c r="K104" s="112">
        <f>IF($D104="","",$I104*$J104)</f>
        <v/>
      </c>
      <c r="L104" s="129" t="n"/>
      <c r="M104" s="114">
        <f>IF($D104="","",$I104-$K104-N($L104))</f>
        <v/>
      </c>
      <c r="N104" s="113">
        <f>IF($D104="","",IFERROR(INDEX(INVENTARIO!$L$7:$L$26,MATCH($D104,INVENTARIO!$B$7:$B$26,0))*1,0))</f>
        <v/>
      </c>
      <c r="O104" s="112">
        <f>IF($D104="","",N($F104)*$N104)</f>
        <v/>
      </c>
      <c r="P104" s="114">
        <f>IF($D104="","",$M104-$O104)</f>
        <v/>
      </c>
      <c r="Q104" s="115">
        <f>IF($D104="","",IF($I104&gt;0,$P104/$I104,""))</f>
        <v/>
      </c>
      <c r="R104" s="127" t="n"/>
    </row>
    <row r="105">
      <c r="B105" s="130" t="n"/>
      <c r="C105" s="100" t="n"/>
      <c r="D105" s="100" t="n"/>
      <c r="E105" s="96">
        <f>IF($D105="","",IFERROR(INDEX(INVENTARIO!$C$7:$C$26,MATCH($D105,INVENTARIO!$B$7:$B$26,0)),"⚠ ID no existe"))</f>
        <v/>
      </c>
      <c r="F105" s="128" t="n"/>
      <c r="G105" s="129" t="n"/>
      <c r="H105" s="112">
        <f>IF($D105="","",IF($G105="",IFERROR(INDEX(INVENTARIO!$N$7:$N$26,MATCH($D105,INVENTARIO!$B$7:$B$26,0)),""),$G105))</f>
        <v/>
      </c>
      <c r="I105" s="114">
        <f>IF($D105="","",N($F105)*IF(ISNUMBER($H105),$H105,0))</f>
        <v/>
      </c>
      <c r="J105" s="115">
        <f>IF($D105="","",IFERROR(IF(INDEX(INVENTARIO!$O$7:$O$26,MATCH($D105,INVENTARIO!$B$7:$B$26,0))="",CFG_WALMART,INDEX(INVENTARIO!$O$7:$O$26,MATCH($D105,INVENTARIO!$B$7:$B$26,0))),CFG_WALMART))</f>
        <v/>
      </c>
      <c r="K105" s="112">
        <f>IF($D105="","",$I105*$J105)</f>
        <v/>
      </c>
      <c r="L105" s="129" t="n"/>
      <c r="M105" s="114">
        <f>IF($D105="","",$I105-$K105-N($L105))</f>
        <v/>
      </c>
      <c r="N105" s="113">
        <f>IF($D105="","",IFERROR(INDEX(INVENTARIO!$L$7:$L$26,MATCH($D105,INVENTARIO!$B$7:$B$26,0))*1,0))</f>
        <v/>
      </c>
      <c r="O105" s="112">
        <f>IF($D105="","",N($F105)*$N105)</f>
        <v/>
      </c>
      <c r="P105" s="114">
        <f>IF($D105="","",$M105-$O105)</f>
        <v/>
      </c>
      <c r="Q105" s="115">
        <f>IF($D105="","",IF($I105&gt;0,$P105/$I105,""))</f>
        <v/>
      </c>
      <c r="R105" s="127" t="n"/>
    </row>
    <row r="106">
      <c r="B106" s="130" t="n"/>
      <c r="C106" s="100" t="n"/>
      <c r="D106" s="100" t="n"/>
      <c r="E106" s="96">
        <f>IF($D106="","",IFERROR(INDEX(INVENTARIO!$C$7:$C$26,MATCH($D106,INVENTARIO!$B$7:$B$26,0)),"⚠ ID no existe"))</f>
        <v/>
      </c>
      <c r="F106" s="128" t="n"/>
      <c r="G106" s="129" t="n"/>
      <c r="H106" s="112">
        <f>IF($D106="","",IF($G106="",IFERROR(INDEX(INVENTARIO!$N$7:$N$26,MATCH($D106,INVENTARIO!$B$7:$B$26,0)),""),$G106))</f>
        <v/>
      </c>
      <c r="I106" s="114">
        <f>IF($D106="","",N($F106)*IF(ISNUMBER($H106),$H106,0))</f>
        <v/>
      </c>
      <c r="J106" s="115">
        <f>IF($D106="","",IFERROR(IF(INDEX(INVENTARIO!$O$7:$O$26,MATCH($D106,INVENTARIO!$B$7:$B$26,0))="",CFG_WALMART,INDEX(INVENTARIO!$O$7:$O$26,MATCH($D106,INVENTARIO!$B$7:$B$26,0))),CFG_WALMART))</f>
        <v/>
      </c>
      <c r="K106" s="112">
        <f>IF($D106="","",$I106*$J106)</f>
        <v/>
      </c>
      <c r="L106" s="129" t="n"/>
      <c r="M106" s="114">
        <f>IF($D106="","",$I106-$K106-N($L106))</f>
        <v/>
      </c>
      <c r="N106" s="113">
        <f>IF($D106="","",IFERROR(INDEX(INVENTARIO!$L$7:$L$26,MATCH($D106,INVENTARIO!$B$7:$B$26,0))*1,0))</f>
        <v/>
      </c>
      <c r="O106" s="112">
        <f>IF($D106="","",N($F106)*$N106)</f>
        <v/>
      </c>
      <c r="P106" s="114">
        <f>IF($D106="","",$M106-$O106)</f>
        <v/>
      </c>
      <c r="Q106" s="115">
        <f>IF($D106="","",IF($I106&gt;0,$P106/$I106,""))</f>
        <v/>
      </c>
      <c r="R106" s="127" t="n"/>
    </row>
    <row r="107">
      <c r="B107" s="130" t="n"/>
      <c r="C107" s="100" t="n"/>
      <c r="D107" s="100" t="n"/>
      <c r="E107" s="96">
        <f>IF($D107="","",IFERROR(INDEX(INVENTARIO!$C$7:$C$26,MATCH($D107,INVENTARIO!$B$7:$B$26,0)),"⚠ ID no existe"))</f>
        <v/>
      </c>
      <c r="F107" s="128" t="n"/>
      <c r="G107" s="129" t="n"/>
      <c r="H107" s="112">
        <f>IF($D107="","",IF($G107="",IFERROR(INDEX(INVENTARIO!$N$7:$N$26,MATCH($D107,INVENTARIO!$B$7:$B$26,0)),""),$G107))</f>
        <v/>
      </c>
      <c r="I107" s="114">
        <f>IF($D107="","",N($F107)*IF(ISNUMBER($H107),$H107,0))</f>
        <v/>
      </c>
      <c r="J107" s="115">
        <f>IF($D107="","",IFERROR(IF(INDEX(INVENTARIO!$O$7:$O$26,MATCH($D107,INVENTARIO!$B$7:$B$26,0))="",CFG_WALMART,INDEX(INVENTARIO!$O$7:$O$26,MATCH($D107,INVENTARIO!$B$7:$B$26,0))),CFG_WALMART))</f>
        <v/>
      </c>
      <c r="K107" s="112">
        <f>IF($D107="","",$I107*$J107)</f>
        <v/>
      </c>
      <c r="L107" s="129" t="n"/>
      <c r="M107" s="114">
        <f>IF($D107="","",$I107-$K107-N($L107))</f>
        <v/>
      </c>
      <c r="N107" s="113">
        <f>IF($D107="","",IFERROR(INDEX(INVENTARIO!$L$7:$L$26,MATCH($D107,INVENTARIO!$B$7:$B$26,0))*1,0))</f>
        <v/>
      </c>
      <c r="O107" s="112">
        <f>IF($D107="","",N($F107)*$N107)</f>
        <v/>
      </c>
      <c r="P107" s="114">
        <f>IF($D107="","",$M107-$O107)</f>
        <v/>
      </c>
      <c r="Q107" s="115">
        <f>IF($D107="","",IF($I107&gt;0,$P107/$I107,""))</f>
        <v/>
      </c>
      <c r="R107" s="127" t="n"/>
    </row>
    <row r="108">
      <c r="B108" s="130" t="n"/>
      <c r="C108" s="100" t="n"/>
      <c r="D108" s="100" t="n"/>
      <c r="E108" s="96">
        <f>IF($D108="","",IFERROR(INDEX(INVENTARIO!$C$7:$C$26,MATCH($D108,INVENTARIO!$B$7:$B$26,0)),"⚠ ID no existe"))</f>
        <v/>
      </c>
      <c r="F108" s="128" t="n"/>
      <c r="G108" s="129" t="n"/>
      <c r="H108" s="112">
        <f>IF($D108="","",IF($G108="",IFERROR(INDEX(INVENTARIO!$N$7:$N$26,MATCH($D108,INVENTARIO!$B$7:$B$26,0)),""),$G108))</f>
        <v/>
      </c>
      <c r="I108" s="114">
        <f>IF($D108="","",N($F108)*IF(ISNUMBER($H108),$H108,0))</f>
        <v/>
      </c>
      <c r="J108" s="115">
        <f>IF($D108="","",IFERROR(IF(INDEX(INVENTARIO!$O$7:$O$26,MATCH($D108,INVENTARIO!$B$7:$B$26,0))="",CFG_WALMART,INDEX(INVENTARIO!$O$7:$O$26,MATCH($D108,INVENTARIO!$B$7:$B$26,0))),CFG_WALMART))</f>
        <v/>
      </c>
      <c r="K108" s="112">
        <f>IF($D108="","",$I108*$J108)</f>
        <v/>
      </c>
      <c r="L108" s="129" t="n"/>
      <c r="M108" s="114">
        <f>IF($D108="","",$I108-$K108-N($L108))</f>
        <v/>
      </c>
      <c r="N108" s="113">
        <f>IF($D108="","",IFERROR(INDEX(INVENTARIO!$L$7:$L$26,MATCH($D108,INVENTARIO!$B$7:$B$26,0))*1,0))</f>
        <v/>
      </c>
      <c r="O108" s="112">
        <f>IF($D108="","",N($F108)*$N108)</f>
        <v/>
      </c>
      <c r="P108" s="114">
        <f>IF($D108="","",$M108-$O108)</f>
        <v/>
      </c>
      <c r="Q108" s="115">
        <f>IF($D108="","",IF($I108&gt;0,$P108/$I108,""))</f>
        <v/>
      </c>
      <c r="R108" s="127" t="n"/>
    </row>
    <row r="109">
      <c r="B109" s="130" t="n"/>
      <c r="C109" s="100" t="n"/>
      <c r="D109" s="100" t="n"/>
      <c r="E109" s="96">
        <f>IF($D109="","",IFERROR(INDEX(INVENTARIO!$C$7:$C$26,MATCH($D109,INVENTARIO!$B$7:$B$26,0)),"⚠ ID no existe"))</f>
        <v/>
      </c>
      <c r="F109" s="128" t="n"/>
      <c r="G109" s="129" t="n"/>
      <c r="H109" s="112">
        <f>IF($D109="","",IF($G109="",IFERROR(INDEX(INVENTARIO!$N$7:$N$26,MATCH($D109,INVENTARIO!$B$7:$B$26,0)),""),$G109))</f>
        <v/>
      </c>
      <c r="I109" s="114">
        <f>IF($D109="","",N($F109)*IF(ISNUMBER($H109),$H109,0))</f>
        <v/>
      </c>
      <c r="J109" s="115">
        <f>IF($D109="","",IFERROR(IF(INDEX(INVENTARIO!$O$7:$O$26,MATCH($D109,INVENTARIO!$B$7:$B$26,0))="",CFG_WALMART,INDEX(INVENTARIO!$O$7:$O$26,MATCH($D109,INVENTARIO!$B$7:$B$26,0))),CFG_WALMART))</f>
        <v/>
      </c>
      <c r="K109" s="112">
        <f>IF($D109="","",$I109*$J109)</f>
        <v/>
      </c>
      <c r="L109" s="129" t="n"/>
      <c r="M109" s="114">
        <f>IF($D109="","",$I109-$K109-N($L109))</f>
        <v/>
      </c>
      <c r="N109" s="113">
        <f>IF($D109="","",IFERROR(INDEX(INVENTARIO!$L$7:$L$26,MATCH($D109,INVENTARIO!$B$7:$B$26,0))*1,0))</f>
        <v/>
      </c>
      <c r="O109" s="112">
        <f>IF($D109="","",N($F109)*$N109)</f>
        <v/>
      </c>
      <c r="P109" s="114">
        <f>IF($D109="","",$M109-$O109)</f>
        <v/>
      </c>
      <c r="Q109" s="115">
        <f>IF($D109="","",IF($I109&gt;0,$P109/$I109,""))</f>
        <v/>
      </c>
      <c r="R109" s="127" t="n"/>
    </row>
    <row r="110">
      <c r="B110" s="130" t="n"/>
      <c r="C110" s="100" t="n"/>
      <c r="D110" s="100" t="n"/>
      <c r="E110" s="96">
        <f>IF($D110="","",IFERROR(INDEX(INVENTARIO!$C$7:$C$26,MATCH($D110,INVENTARIO!$B$7:$B$26,0)),"⚠ ID no existe"))</f>
        <v/>
      </c>
      <c r="F110" s="128" t="n"/>
      <c r="G110" s="129" t="n"/>
      <c r="H110" s="112">
        <f>IF($D110="","",IF($G110="",IFERROR(INDEX(INVENTARIO!$N$7:$N$26,MATCH($D110,INVENTARIO!$B$7:$B$26,0)),""),$G110))</f>
        <v/>
      </c>
      <c r="I110" s="114">
        <f>IF($D110="","",N($F110)*IF(ISNUMBER($H110),$H110,0))</f>
        <v/>
      </c>
      <c r="J110" s="115">
        <f>IF($D110="","",IFERROR(IF(INDEX(INVENTARIO!$O$7:$O$26,MATCH($D110,INVENTARIO!$B$7:$B$26,0))="",CFG_WALMART,INDEX(INVENTARIO!$O$7:$O$26,MATCH($D110,INVENTARIO!$B$7:$B$26,0))),CFG_WALMART))</f>
        <v/>
      </c>
      <c r="K110" s="112">
        <f>IF($D110="","",$I110*$J110)</f>
        <v/>
      </c>
      <c r="L110" s="129" t="n"/>
      <c r="M110" s="114">
        <f>IF($D110="","",$I110-$K110-N($L110))</f>
        <v/>
      </c>
      <c r="N110" s="113">
        <f>IF($D110="","",IFERROR(INDEX(INVENTARIO!$L$7:$L$26,MATCH($D110,INVENTARIO!$B$7:$B$26,0))*1,0))</f>
        <v/>
      </c>
      <c r="O110" s="112">
        <f>IF($D110="","",N($F110)*$N110)</f>
        <v/>
      </c>
      <c r="P110" s="114">
        <f>IF($D110="","",$M110-$O110)</f>
        <v/>
      </c>
      <c r="Q110" s="115">
        <f>IF($D110="","",IF($I110&gt;0,$P110/$I110,""))</f>
        <v/>
      </c>
      <c r="R110" s="127" t="n"/>
    </row>
    <row r="111">
      <c r="B111" s="130" t="n"/>
      <c r="C111" s="100" t="n"/>
      <c r="D111" s="100" t="n"/>
      <c r="E111" s="96">
        <f>IF($D111="","",IFERROR(INDEX(INVENTARIO!$C$7:$C$26,MATCH($D111,INVENTARIO!$B$7:$B$26,0)),"⚠ ID no existe"))</f>
        <v/>
      </c>
      <c r="F111" s="128" t="n"/>
      <c r="G111" s="129" t="n"/>
      <c r="H111" s="112">
        <f>IF($D111="","",IF($G111="",IFERROR(INDEX(INVENTARIO!$N$7:$N$26,MATCH($D111,INVENTARIO!$B$7:$B$26,0)),""),$G111))</f>
        <v/>
      </c>
      <c r="I111" s="114">
        <f>IF($D111="","",N($F111)*IF(ISNUMBER($H111),$H111,0))</f>
        <v/>
      </c>
      <c r="J111" s="115">
        <f>IF($D111="","",IFERROR(IF(INDEX(INVENTARIO!$O$7:$O$26,MATCH($D111,INVENTARIO!$B$7:$B$26,0))="",CFG_WALMART,INDEX(INVENTARIO!$O$7:$O$26,MATCH($D111,INVENTARIO!$B$7:$B$26,0))),CFG_WALMART))</f>
        <v/>
      </c>
      <c r="K111" s="112">
        <f>IF($D111="","",$I111*$J111)</f>
        <v/>
      </c>
      <c r="L111" s="129" t="n"/>
      <c r="M111" s="114">
        <f>IF($D111="","",$I111-$K111-N($L111))</f>
        <v/>
      </c>
      <c r="N111" s="113">
        <f>IF($D111="","",IFERROR(INDEX(INVENTARIO!$L$7:$L$26,MATCH($D111,INVENTARIO!$B$7:$B$26,0))*1,0))</f>
        <v/>
      </c>
      <c r="O111" s="112">
        <f>IF($D111="","",N($F111)*$N111)</f>
        <v/>
      </c>
      <c r="P111" s="114">
        <f>IF($D111="","",$M111-$O111)</f>
        <v/>
      </c>
      <c r="Q111" s="115">
        <f>IF($D111="","",IF($I111&gt;0,$P111/$I111,""))</f>
        <v/>
      </c>
      <c r="R111" s="127" t="n"/>
    </row>
    <row r="112">
      <c r="B112" s="130" t="n"/>
      <c r="C112" s="100" t="n"/>
      <c r="D112" s="100" t="n"/>
      <c r="E112" s="96">
        <f>IF($D112="","",IFERROR(INDEX(INVENTARIO!$C$7:$C$26,MATCH($D112,INVENTARIO!$B$7:$B$26,0)),"⚠ ID no existe"))</f>
        <v/>
      </c>
      <c r="F112" s="128" t="n"/>
      <c r="G112" s="129" t="n"/>
      <c r="H112" s="112">
        <f>IF($D112="","",IF($G112="",IFERROR(INDEX(INVENTARIO!$N$7:$N$26,MATCH($D112,INVENTARIO!$B$7:$B$26,0)),""),$G112))</f>
        <v/>
      </c>
      <c r="I112" s="114">
        <f>IF($D112="","",N($F112)*IF(ISNUMBER($H112),$H112,0))</f>
        <v/>
      </c>
      <c r="J112" s="115">
        <f>IF($D112="","",IFERROR(IF(INDEX(INVENTARIO!$O$7:$O$26,MATCH($D112,INVENTARIO!$B$7:$B$26,0))="",CFG_WALMART,INDEX(INVENTARIO!$O$7:$O$26,MATCH($D112,INVENTARIO!$B$7:$B$26,0))),CFG_WALMART))</f>
        <v/>
      </c>
      <c r="K112" s="112">
        <f>IF($D112="","",$I112*$J112)</f>
        <v/>
      </c>
      <c r="L112" s="129" t="n"/>
      <c r="M112" s="114">
        <f>IF($D112="","",$I112-$K112-N($L112))</f>
        <v/>
      </c>
      <c r="N112" s="113">
        <f>IF($D112="","",IFERROR(INDEX(INVENTARIO!$L$7:$L$26,MATCH($D112,INVENTARIO!$B$7:$B$26,0))*1,0))</f>
        <v/>
      </c>
      <c r="O112" s="112">
        <f>IF($D112="","",N($F112)*$N112)</f>
        <v/>
      </c>
      <c r="P112" s="114">
        <f>IF($D112="","",$M112-$O112)</f>
        <v/>
      </c>
      <c r="Q112" s="115">
        <f>IF($D112="","",IF($I112&gt;0,$P112/$I112,""))</f>
        <v/>
      </c>
      <c r="R112" s="127" t="n"/>
    </row>
    <row r="113">
      <c r="B113" s="130" t="n"/>
      <c r="C113" s="100" t="n"/>
      <c r="D113" s="100" t="n"/>
      <c r="E113" s="96">
        <f>IF($D113="","",IFERROR(INDEX(INVENTARIO!$C$7:$C$26,MATCH($D113,INVENTARIO!$B$7:$B$26,0)),"⚠ ID no existe"))</f>
        <v/>
      </c>
      <c r="F113" s="128" t="n"/>
      <c r="G113" s="129" t="n"/>
      <c r="H113" s="112">
        <f>IF($D113="","",IF($G113="",IFERROR(INDEX(INVENTARIO!$N$7:$N$26,MATCH($D113,INVENTARIO!$B$7:$B$26,0)),""),$G113))</f>
        <v/>
      </c>
      <c r="I113" s="114">
        <f>IF($D113="","",N($F113)*IF(ISNUMBER($H113),$H113,0))</f>
        <v/>
      </c>
      <c r="J113" s="115">
        <f>IF($D113="","",IFERROR(IF(INDEX(INVENTARIO!$O$7:$O$26,MATCH($D113,INVENTARIO!$B$7:$B$26,0))="",CFG_WALMART,INDEX(INVENTARIO!$O$7:$O$26,MATCH($D113,INVENTARIO!$B$7:$B$26,0))),CFG_WALMART))</f>
        <v/>
      </c>
      <c r="K113" s="112">
        <f>IF($D113="","",$I113*$J113)</f>
        <v/>
      </c>
      <c r="L113" s="129" t="n"/>
      <c r="M113" s="114">
        <f>IF($D113="","",$I113-$K113-N($L113))</f>
        <v/>
      </c>
      <c r="N113" s="113">
        <f>IF($D113="","",IFERROR(INDEX(INVENTARIO!$L$7:$L$26,MATCH($D113,INVENTARIO!$B$7:$B$26,0))*1,0))</f>
        <v/>
      </c>
      <c r="O113" s="112">
        <f>IF($D113="","",N($F113)*$N113)</f>
        <v/>
      </c>
      <c r="P113" s="114">
        <f>IF($D113="","",$M113-$O113)</f>
        <v/>
      </c>
      <c r="Q113" s="115">
        <f>IF($D113="","",IF($I113&gt;0,$P113/$I113,""))</f>
        <v/>
      </c>
      <c r="R113" s="127" t="n"/>
    </row>
    <row r="114">
      <c r="B114" s="130" t="n"/>
      <c r="C114" s="100" t="n"/>
      <c r="D114" s="100" t="n"/>
      <c r="E114" s="96">
        <f>IF($D114="","",IFERROR(INDEX(INVENTARIO!$C$7:$C$26,MATCH($D114,INVENTARIO!$B$7:$B$26,0)),"⚠ ID no existe"))</f>
        <v/>
      </c>
      <c r="F114" s="128" t="n"/>
      <c r="G114" s="129" t="n"/>
      <c r="H114" s="112">
        <f>IF($D114="","",IF($G114="",IFERROR(INDEX(INVENTARIO!$N$7:$N$26,MATCH($D114,INVENTARIO!$B$7:$B$26,0)),""),$G114))</f>
        <v/>
      </c>
      <c r="I114" s="114">
        <f>IF($D114="","",N($F114)*IF(ISNUMBER($H114),$H114,0))</f>
        <v/>
      </c>
      <c r="J114" s="115">
        <f>IF($D114="","",IFERROR(IF(INDEX(INVENTARIO!$O$7:$O$26,MATCH($D114,INVENTARIO!$B$7:$B$26,0))="",CFG_WALMART,INDEX(INVENTARIO!$O$7:$O$26,MATCH($D114,INVENTARIO!$B$7:$B$26,0))),CFG_WALMART))</f>
        <v/>
      </c>
      <c r="K114" s="112">
        <f>IF($D114="","",$I114*$J114)</f>
        <v/>
      </c>
      <c r="L114" s="129" t="n"/>
      <c r="M114" s="114">
        <f>IF($D114="","",$I114-$K114-N($L114))</f>
        <v/>
      </c>
      <c r="N114" s="113">
        <f>IF($D114="","",IFERROR(INDEX(INVENTARIO!$L$7:$L$26,MATCH($D114,INVENTARIO!$B$7:$B$26,0))*1,0))</f>
        <v/>
      </c>
      <c r="O114" s="112">
        <f>IF($D114="","",N($F114)*$N114)</f>
        <v/>
      </c>
      <c r="P114" s="114">
        <f>IF($D114="","",$M114-$O114)</f>
        <v/>
      </c>
      <c r="Q114" s="115">
        <f>IF($D114="","",IF($I114&gt;0,$P114/$I114,""))</f>
        <v/>
      </c>
      <c r="R114" s="127" t="n"/>
    </row>
    <row r="115">
      <c r="B115" s="130" t="n"/>
      <c r="C115" s="100" t="n"/>
      <c r="D115" s="100" t="n"/>
      <c r="E115" s="96">
        <f>IF($D115="","",IFERROR(INDEX(INVENTARIO!$C$7:$C$26,MATCH($D115,INVENTARIO!$B$7:$B$26,0)),"⚠ ID no existe"))</f>
        <v/>
      </c>
      <c r="F115" s="128" t="n"/>
      <c r="G115" s="129" t="n"/>
      <c r="H115" s="112">
        <f>IF($D115="","",IF($G115="",IFERROR(INDEX(INVENTARIO!$N$7:$N$26,MATCH($D115,INVENTARIO!$B$7:$B$26,0)),""),$G115))</f>
        <v/>
      </c>
      <c r="I115" s="114">
        <f>IF($D115="","",N($F115)*IF(ISNUMBER($H115),$H115,0))</f>
        <v/>
      </c>
      <c r="J115" s="115">
        <f>IF($D115="","",IFERROR(IF(INDEX(INVENTARIO!$O$7:$O$26,MATCH($D115,INVENTARIO!$B$7:$B$26,0))="",CFG_WALMART,INDEX(INVENTARIO!$O$7:$O$26,MATCH($D115,INVENTARIO!$B$7:$B$26,0))),CFG_WALMART))</f>
        <v/>
      </c>
      <c r="K115" s="112">
        <f>IF($D115="","",$I115*$J115)</f>
        <v/>
      </c>
      <c r="L115" s="129" t="n"/>
      <c r="M115" s="114">
        <f>IF($D115="","",$I115-$K115-N($L115))</f>
        <v/>
      </c>
      <c r="N115" s="113">
        <f>IF($D115="","",IFERROR(INDEX(INVENTARIO!$L$7:$L$26,MATCH($D115,INVENTARIO!$B$7:$B$26,0))*1,0))</f>
        <v/>
      </c>
      <c r="O115" s="112">
        <f>IF($D115="","",N($F115)*$N115)</f>
        <v/>
      </c>
      <c r="P115" s="114">
        <f>IF($D115="","",$M115-$O115)</f>
        <v/>
      </c>
      <c r="Q115" s="115">
        <f>IF($D115="","",IF($I115&gt;0,$P115/$I115,""))</f>
        <v/>
      </c>
      <c r="R115" s="127" t="n"/>
    </row>
    <row r="116">
      <c r="B116" s="130" t="n"/>
      <c r="C116" s="100" t="n"/>
      <c r="D116" s="100" t="n"/>
      <c r="E116" s="96">
        <f>IF($D116="","",IFERROR(INDEX(INVENTARIO!$C$7:$C$26,MATCH($D116,INVENTARIO!$B$7:$B$26,0)),"⚠ ID no existe"))</f>
        <v/>
      </c>
      <c r="F116" s="128" t="n"/>
      <c r="G116" s="129" t="n"/>
      <c r="H116" s="112">
        <f>IF($D116="","",IF($G116="",IFERROR(INDEX(INVENTARIO!$N$7:$N$26,MATCH($D116,INVENTARIO!$B$7:$B$26,0)),""),$G116))</f>
        <v/>
      </c>
      <c r="I116" s="114">
        <f>IF($D116="","",N($F116)*IF(ISNUMBER($H116),$H116,0))</f>
        <v/>
      </c>
      <c r="J116" s="115">
        <f>IF($D116="","",IFERROR(IF(INDEX(INVENTARIO!$O$7:$O$26,MATCH($D116,INVENTARIO!$B$7:$B$26,0))="",CFG_WALMART,INDEX(INVENTARIO!$O$7:$O$26,MATCH($D116,INVENTARIO!$B$7:$B$26,0))),CFG_WALMART))</f>
        <v/>
      </c>
      <c r="K116" s="112">
        <f>IF($D116="","",$I116*$J116)</f>
        <v/>
      </c>
      <c r="L116" s="129" t="n"/>
      <c r="M116" s="114">
        <f>IF($D116="","",$I116-$K116-N($L116))</f>
        <v/>
      </c>
      <c r="N116" s="113">
        <f>IF($D116="","",IFERROR(INDEX(INVENTARIO!$L$7:$L$26,MATCH($D116,INVENTARIO!$B$7:$B$26,0))*1,0))</f>
        <v/>
      </c>
      <c r="O116" s="112">
        <f>IF($D116="","",N($F116)*$N116)</f>
        <v/>
      </c>
      <c r="P116" s="114">
        <f>IF($D116="","",$M116-$O116)</f>
        <v/>
      </c>
      <c r="Q116" s="115">
        <f>IF($D116="","",IF($I116&gt;0,$P116/$I116,""))</f>
        <v/>
      </c>
      <c r="R116" s="127" t="n"/>
    </row>
    <row r="117">
      <c r="B117" s="130" t="n"/>
      <c r="C117" s="100" t="n"/>
      <c r="D117" s="100" t="n"/>
      <c r="E117" s="96">
        <f>IF($D117="","",IFERROR(INDEX(INVENTARIO!$C$7:$C$26,MATCH($D117,INVENTARIO!$B$7:$B$26,0)),"⚠ ID no existe"))</f>
        <v/>
      </c>
      <c r="F117" s="128" t="n"/>
      <c r="G117" s="129" t="n"/>
      <c r="H117" s="112">
        <f>IF($D117="","",IF($G117="",IFERROR(INDEX(INVENTARIO!$N$7:$N$26,MATCH($D117,INVENTARIO!$B$7:$B$26,0)),""),$G117))</f>
        <v/>
      </c>
      <c r="I117" s="114">
        <f>IF($D117="","",N($F117)*IF(ISNUMBER($H117),$H117,0))</f>
        <v/>
      </c>
      <c r="J117" s="115">
        <f>IF($D117="","",IFERROR(IF(INDEX(INVENTARIO!$O$7:$O$26,MATCH($D117,INVENTARIO!$B$7:$B$26,0))="",CFG_WALMART,INDEX(INVENTARIO!$O$7:$O$26,MATCH($D117,INVENTARIO!$B$7:$B$26,0))),CFG_WALMART))</f>
        <v/>
      </c>
      <c r="K117" s="112">
        <f>IF($D117="","",$I117*$J117)</f>
        <v/>
      </c>
      <c r="L117" s="129" t="n"/>
      <c r="M117" s="114">
        <f>IF($D117="","",$I117-$K117-N($L117))</f>
        <v/>
      </c>
      <c r="N117" s="113">
        <f>IF($D117="","",IFERROR(INDEX(INVENTARIO!$L$7:$L$26,MATCH($D117,INVENTARIO!$B$7:$B$26,0))*1,0))</f>
        <v/>
      </c>
      <c r="O117" s="112">
        <f>IF($D117="","",N($F117)*$N117)</f>
        <v/>
      </c>
      <c r="P117" s="114">
        <f>IF($D117="","",$M117-$O117)</f>
        <v/>
      </c>
      <c r="Q117" s="115">
        <f>IF($D117="","",IF($I117&gt;0,$P117/$I117,""))</f>
        <v/>
      </c>
      <c r="R117" s="127" t="n"/>
    </row>
    <row r="118">
      <c r="B118" s="130" t="n"/>
      <c r="C118" s="100" t="n"/>
      <c r="D118" s="100" t="n"/>
      <c r="E118" s="96">
        <f>IF($D118="","",IFERROR(INDEX(INVENTARIO!$C$7:$C$26,MATCH($D118,INVENTARIO!$B$7:$B$26,0)),"⚠ ID no existe"))</f>
        <v/>
      </c>
      <c r="F118" s="128" t="n"/>
      <c r="G118" s="129" t="n"/>
      <c r="H118" s="112">
        <f>IF($D118="","",IF($G118="",IFERROR(INDEX(INVENTARIO!$N$7:$N$26,MATCH($D118,INVENTARIO!$B$7:$B$26,0)),""),$G118))</f>
        <v/>
      </c>
      <c r="I118" s="114">
        <f>IF($D118="","",N($F118)*IF(ISNUMBER($H118),$H118,0))</f>
        <v/>
      </c>
      <c r="J118" s="115">
        <f>IF($D118="","",IFERROR(IF(INDEX(INVENTARIO!$O$7:$O$26,MATCH($D118,INVENTARIO!$B$7:$B$26,0))="",CFG_WALMART,INDEX(INVENTARIO!$O$7:$O$26,MATCH($D118,INVENTARIO!$B$7:$B$26,0))),CFG_WALMART))</f>
        <v/>
      </c>
      <c r="K118" s="112">
        <f>IF($D118="","",$I118*$J118)</f>
        <v/>
      </c>
      <c r="L118" s="129" t="n"/>
      <c r="M118" s="114">
        <f>IF($D118="","",$I118-$K118-N($L118))</f>
        <v/>
      </c>
      <c r="N118" s="113">
        <f>IF($D118="","",IFERROR(INDEX(INVENTARIO!$L$7:$L$26,MATCH($D118,INVENTARIO!$B$7:$B$26,0))*1,0))</f>
        <v/>
      </c>
      <c r="O118" s="112">
        <f>IF($D118="","",N($F118)*$N118)</f>
        <v/>
      </c>
      <c r="P118" s="114">
        <f>IF($D118="","",$M118-$O118)</f>
        <v/>
      </c>
      <c r="Q118" s="115">
        <f>IF($D118="","",IF($I118&gt;0,$P118/$I118,""))</f>
        <v/>
      </c>
      <c r="R118" s="127" t="n"/>
    </row>
    <row r="119">
      <c r="B119" s="130" t="n"/>
      <c r="C119" s="100" t="n"/>
      <c r="D119" s="100" t="n"/>
      <c r="E119" s="96">
        <f>IF($D119="","",IFERROR(INDEX(INVENTARIO!$C$7:$C$26,MATCH($D119,INVENTARIO!$B$7:$B$26,0)),"⚠ ID no existe"))</f>
        <v/>
      </c>
      <c r="F119" s="128" t="n"/>
      <c r="G119" s="129" t="n"/>
      <c r="H119" s="112">
        <f>IF($D119="","",IF($G119="",IFERROR(INDEX(INVENTARIO!$N$7:$N$26,MATCH($D119,INVENTARIO!$B$7:$B$26,0)),""),$G119))</f>
        <v/>
      </c>
      <c r="I119" s="114">
        <f>IF($D119="","",N($F119)*IF(ISNUMBER($H119),$H119,0))</f>
        <v/>
      </c>
      <c r="J119" s="115">
        <f>IF($D119="","",IFERROR(IF(INDEX(INVENTARIO!$O$7:$O$26,MATCH($D119,INVENTARIO!$B$7:$B$26,0))="",CFG_WALMART,INDEX(INVENTARIO!$O$7:$O$26,MATCH($D119,INVENTARIO!$B$7:$B$26,0))),CFG_WALMART))</f>
        <v/>
      </c>
      <c r="K119" s="112">
        <f>IF($D119="","",$I119*$J119)</f>
        <v/>
      </c>
      <c r="L119" s="129" t="n"/>
      <c r="M119" s="114">
        <f>IF($D119="","",$I119-$K119-N($L119))</f>
        <v/>
      </c>
      <c r="N119" s="113">
        <f>IF($D119="","",IFERROR(INDEX(INVENTARIO!$L$7:$L$26,MATCH($D119,INVENTARIO!$B$7:$B$26,0))*1,0))</f>
        <v/>
      </c>
      <c r="O119" s="112">
        <f>IF($D119="","",N($F119)*$N119)</f>
        <v/>
      </c>
      <c r="P119" s="114">
        <f>IF($D119="","",$M119-$O119)</f>
        <v/>
      </c>
      <c r="Q119" s="115">
        <f>IF($D119="","",IF($I119&gt;0,$P119/$I119,""))</f>
        <v/>
      </c>
      <c r="R119" s="127" t="n"/>
    </row>
    <row r="120">
      <c r="B120" s="130" t="n"/>
      <c r="C120" s="100" t="n"/>
      <c r="D120" s="100" t="n"/>
      <c r="E120" s="96">
        <f>IF($D120="","",IFERROR(INDEX(INVENTARIO!$C$7:$C$26,MATCH($D120,INVENTARIO!$B$7:$B$26,0)),"⚠ ID no existe"))</f>
        <v/>
      </c>
      <c r="F120" s="128" t="n"/>
      <c r="G120" s="129" t="n"/>
      <c r="H120" s="112">
        <f>IF($D120="","",IF($G120="",IFERROR(INDEX(INVENTARIO!$N$7:$N$26,MATCH($D120,INVENTARIO!$B$7:$B$26,0)),""),$G120))</f>
        <v/>
      </c>
      <c r="I120" s="114">
        <f>IF($D120="","",N($F120)*IF(ISNUMBER($H120),$H120,0))</f>
        <v/>
      </c>
      <c r="J120" s="115">
        <f>IF($D120="","",IFERROR(IF(INDEX(INVENTARIO!$O$7:$O$26,MATCH($D120,INVENTARIO!$B$7:$B$26,0))="",CFG_WALMART,INDEX(INVENTARIO!$O$7:$O$26,MATCH($D120,INVENTARIO!$B$7:$B$26,0))),CFG_WALMART))</f>
        <v/>
      </c>
      <c r="K120" s="112">
        <f>IF($D120="","",$I120*$J120)</f>
        <v/>
      </c>
      <c r="L120" s="129" t="n"/>
      <c r="M120" s="114">
        <f>IF($D120="","",$I120-$K120-N($L120))</f>
        <v/>
      </c>
      <c r="N120" s="113">
        <f>IF($D120="","",IFERROR(INDEX(INVENTARIO!$L$7:$L$26,MATCH($D120,INVENTARIO!$B$7:$B$26,0))*1,0))</f>
        <v/>
      </c>
      <c r="O120" s="112">
        <f>IF($D120="","",N($F120)*$N120)</f>
        <v/>
      </c>
      <c r="P120" s="114">
        <f>IF($D120="","",$M120-$O120)</f>
        <v/>
      </c>
      <c r="Q120" s="115">
        <f>IF($D120="","",IF($I120&gt;0,$P120/$I120,""))</f>
        <v/>
      </c>
      <c r="R120" s="127" t="n"/>
    </row>
    <row r="121">
      <c r="B121" s="130" t="n"/>
      <c r="C121" s="100" t="n"/>
      <c r="D121" s="100" t="n"/>
      <c r="E121" s="96">
        <f>IF($D121="","",IFERROR(INDEX(INVENTARIO!$C$7:$C$26,MATCH($D121,INVENTARIO!$B$7:$B$26,0)),"⚠ ID no existe"))</f>
        <v/>
      </c>
      <c r="F121" s="128" t="n"/>
      <c r="G121" s="129" t="n"/>
      <c r="H121" s="112">
        <f>IF($D121="","",IF($G121="",IFERROR(INDEX(INVENTARIO!$N$7:$N$26,MATCH($D121,INVENTARIO!$B$7:$B$26,0)),""),$G121))</f>
        <v/>
      </c>
      <c r="I121" s="114">
        <f>IF($D121="","",N($F121)*IF(ISNUMBER($H121),$H121,0))</f>
        <v/>
      </c>
      <c r="J121" s="115">
        <f>IF($D121="","",IFERROR(IF(INDEX(INVENTARIO!$O$7:$O$26,MATCH($D121,INVENTARIO!$B$7:$B$26,0))="",CFG_WALMART,INDEX(INVENTARIO!$O$7:$O$26,MATCH($D121,INVENTARIO!$B$7:$B$26,0))),CFG_WALMART))</f>
        <v/>
      </c>
      <c r="K121" s="112">
        <f>IF($D121="","",$I121*$J121)</f>
        <v/>
      </c>
      <c r="L121" s="129" t="n"/>
      <c r="M121" s="114">
        <f>IF($D121="","",$I121-$K121-N($L121))</f>
        <v/>
      </c>
      <c r="N121" s="113">
        <f>IF($D121="","",IFERROR(INDEX(INVENTARIO!$L$7:$L$26,MATCH($D121,INVENTARIO!$B$7:$B$26,0))*1,0))</f>
        <v/>
      </c>
      <c r="O121" s="112">
        <f>IF($D121="","",N($F121)*$N121)</f>
        <v/>
      </c>
      <c r="P121" s="114">
        <f>IF($D121="","",$M121-$O121)</f>
        <v/>
      </c>
      <c r="Q121" s="115">
        <f>IF($D121="","",IF($I121&gt;0,$P121/$I121,""))</f>
        <v/>
      </c>
      <c r="R121" s="127" t="n"/>
    </row>
    <row r="122">
      <c r="B122" s="130" t="n"/>
      <c r="C122" s="100" t="n"/>
      <c r="D122" s="100" t="n"/>
      <c r="E122" s="96">
        <f>IF($D122="","",IFERROR(INDEX(INVENTARIO!$C$7:$C$26,MATCH($D122,INVENTARIO!$B$7:$B$26,0)),"⚠ ID no existe"))</f>
        <v/>
      </c>
      <c r="F122" s="128" t="n"/>
      <c r="G122" s="129" t="n"/>
      <c r="H122" s="112">
        <f>IF($D122="","",IF($G122="",IFERROR(INDEX(INVENTARIO!$N$7:$N$26,MATCH($D122,INVENTARIO!$B$7:$B$26,0)),""),$G122))</f>
        <v/>
      </c>
      <c r="I122" s="114">
        <f>IF($D122="","",N($F122)*IF(ISNUMBER($H122),$H122,0))</f>
        <v/>
      </c>
      <c r="J122" s="115">
        <f>IF($D122="","",IFERROR(IF(INDEX(INVENTARIO!$O$7:$O$26,MATCH($D122,INVENTARIO!$B$7:$B$26,0))="",CFG_WALMART,INDEX(INVENTARIO!$O$7:$O$26,MATCH($D122,INVENTARIO!$B$7:$B$26,0))),CFG_WALMART))</f>
        <v/>
      </c>
      <c r="K122" s="112">
        <f>IF($D122="","",$I122*$J122)</f>
        <v/>
      </c>
      <c r="L122" s="129" t="n"/>
      <c r="M122" s="114">
        <f>IF($D122="","",$I122-$K122-N($L122))</f>
        <v/>
      </c>
      <c r="N122" s="113">
        <f>IF($D122="","",IFERROR(INDEX(INVENTARIO!$L$7:$L$26,MATCH($D122,INVENTARIO!$B$7:$B$26,0))*1,0))</f>
        <v/>
      </c>
      <c r="O122" s="112">
        <f>IF($D122="","",N($F122)*$N122)</f>
        <v/>
      </c>
      <c r="P122" s="114">
        <f>IF($D122="","",$M122-$O122)</f>
        <v/>
      </c>
      <c r="Q122" s="115">
        <f>IF($D122="","",IF($I122&gt;0,$P122/$I122,""))</f>
        <v/>
      </c>
      <c r="R122" s="127" t="n"/>
    </row>
    <row r="123">
      <c r="B123" s="130" t="n"/>
      <c r="C123" s="100" t="n"/>
      <c r="D123" s="100" t="n"/>
      <c r="E123" s="96">
        <f>IF($D123="","",IFERROR(INDEX(INVENTARIO!$C$7:$C$26,MATCH($D123,INVENTARIO!$B$7:$B$26,0)),"⚠ ID no existe"))</f>
        <v/>
      </c>
      <c r="F123" s="128" t="n"/>
      <c r="G123" s="129" t="n"/>
      <c r="H123" s="112">
        <f>IF($D123="","",IF($G123="",IFERROR(INDEX(INVENTARIO!$N$7:$N$26,MATCH($D123,INVENTARIO!$B$7:$B$26,0)),""),$G123))</f>
        <v/>
      </c>
      <c r="I123" s="114">
        <f>IF($D123="","",N($F123)*IF(ISNUMBER($H123),$H123,0))</f>
        <v/>
      </c>
      <c r="J123" s="115">
        <f>IF($D123="","",IFERROR(IF(INDEX(INVENTARIO!$O$7:$O$26,MATCH($D123,INVENTARIO!$B$7:$B$26,0))="",CFG_WALMART,INDEX(INVENTARIO!$O$7:$O$26,MATCH($D123,INVENTARIO!$B$7:$B$26,0))),CFG_WALMART))</f>
        <v/>
      </c>
      <c r="K123" s="112">
        <f>IF($D123="","",$I123*$J123)</f>
        <v/>
      </c>
      <c r="L123" s="129" t="n"/>
      <c r="M123" s="114">
        <f>IF($D123="","",$I123-$K123-N($L123))</f>
        <v/>
      </c>
      <c r="N123" s="113">
        <f>IF($D123="","",IFERROR(INDEX(INVENTARIO!$L$7:$L$26,MATCH($D123,INVENTARIO!$B$7:$B$26,0))*1,0))</f>
        <v/>
      </c>
      <c r="O123" s="112">
        <f>IF($D123="","",N($F123)*$N123)</f>
        <v/>
      </c>
      <c r="P123" s="114">
        <f>IF($D123="","",$M123-$O123)</f>
        <v/>
      </c>
      <c r="Q123" s="115">
        <f>IF($D123="","",IF($I123&gt;0,$P123/$I123,""))</f>
        <v/>
      </c>
      <c r="R123" s="127" t="n"/>
    </row>
    <row r="124">
      <c r="B124" s="130" t="n"/>
      <c r="C124" s="100" t="n"/>
      <c r="D124" s="100" t="n"/>
      <c r="E124" s="96">
        <f>IF($D124="","",IFERROR(INDEX(INVENTARIO!$C$7:$C$26,MATCH($D124,INVENTARIO!$B$7:$B$26,0)),"⚠ ID no existe"))</f>
        <v/>
      </c>
      <c r="F124" s="128" t="n"/>
      <c r="G124" s="129" t="n"/>
      <c r="H124" s="112">
        <f>IF($D124="","",IF($G124="",IFERROR(INDEX(INVENTARIO!$N$7:$N$26,MATCH($D124,INVENTARIO!$B$7:$B$26,0)),""),$G124))</f>
        <v/>
      </c>
      <c r="I124" s="114">
        <f>IF($D124="","",N($F124)*IF(ISNUMBER($H124),$H124,0))</f>
        <v/>
      </c>
      <c r="J124" s="115">
        <f>IF($D124="","",IFERROR(IF(INDEX(INVENTARIO!$O$7:$O$26,MATCH($D124,INVENTARIO!$B$7:$B$26,0))="",CFG_WALMART,INDEX(INVENTARIO!$O$7:$O$26,MATCH($D124,INVENTARIO!$B$7:$B$26,0))),CFG_WALMART))</f>
        <v/>
      </c>
      <c r="K124" s="112">
        <f>IF($D124="","",$I124*$J124)</f>
        <v/>
      </c>
      <c r="L124" s="129" t="n"/>
      <c r="M124" s="114">
        <f>IF($D124="","",$I124-$K124-N($L124))</f>
        <v/>
      </c>
      <c r="N124" s="113">
        <f>IF($D124="","",IFERROR(INDEX(INVENTARIO!$L$7:$L$26,MATCH($D124,INVENTARIO!$B$7:$B$26,0))*1,0))</f>
        <v/>
      </c>
      <c r="O124" s="112">
        <f>IF($D124="","",N($F124)*$N124)</f>
        <v/>
      </c>
      <c r="P124" s="114">
        <f>IF($D124="","",$M124-$O124)</f>
        <v/>
      </c>
      <c r="Q124" s="115">
        <f>IF($D124="","",IF($I124&gt;0,$P124/$I124,""))</f>
        <v/>
      </c>
      <c r="R124" s="127" t="n"/>
    </row>
    <row r="125">
      <c r="B125" s="130" t="n"/>
      <c r="C125" s="100" t="n"/>
      <c r="D125" s="100" t="n"/>
      <c r="E125" s="96">
        <f>IF($D125="","",IFERROR(INDEX(INVENTARIO!$C$7:$C$26,MATCH($D125,INVENTARIO!$B$7:$B$26,0)),"⚠ ID no existe"))</f>
        <v/>
      </c>
      <c r="F125" s="128" t="n"/>
      <c r="G125" s="129" t="n"/>
      <c r="H125" s="112">
        <f>IF($D125="","",IF($G125="",IFERROR(INDEX(INVENTARIO!$N$7:$N$26,MATCH($D125,INVENTARIO!$B$7:$B$26,0)),""),$G125))</f>
        <v/>
      </c>
      <c r="I125" s="114">
        <f>IF($D125="","",N($F125)*IF(ISNUMBER($H125),$H125,0))</f>
        <v/>
      </c>
      <c r="J125" s="115">
        <f>IF($D125="","",IFERROR(IF(INDEX(INVENTARIO!$O$7:$O$26,MATCH($D125,INVENTARIO!$B$7:$B$26,0))="",CFG_WALMART,INDEX(INVENTARIO!$O$7:$O$26,MATCH($D125,INVENTARIO!$B$7:$B$26,0))),CFG_WALMART))</f>
        <v/>
      </c>
      <c r="K125" s="112">
        <f>IF($D125="","",$I125*$J125)</f>
        <v/>
      </c>
      <c r="L125" s="129" t="n"/>
      <c r="M125" s="114">
        <f>IF($D125="","",$I125-$K125-N($L125))</f>
        <v/>
      </c>
      <c r="N125" s="113">
        <f>IF($D125="","",IFERROR(INDEX(INVENTARIO!$L$7:$L$26,MATCH($D125,INVENTARIO!$B$7:$B$26,0))*1,0))</f>
        <v/>
      </c>
      <c r="O125" s="112">
        <f>IF($D125="","",N($F125)*$N125)</f>
        <v/>
      </c>
      <c r="P125" s="114">
        <f>IF($D125="","",$M125-$O125)</f>
        <v/>
      </c>
      <c r="Q125" s="115">
        <f>IF($D125="","",IF($I125&gt;0,$P125/$I125,""))</f>
        <v/>
      </c>
      <c r="R125" s="127" t="n"/>
    </row>
    <row r="126">
      <c r="B126" s="130" t="n"/>
      <c r="C126" s="100" t="n"/>
      <c r="D126" s="100" t="n"/>
      <c r="E126" s="96">
        <f>IF($D126="","",IFERROR(INDEX(INVENTARIO!$C$7:$C$26,MATCH($D126,INVENTARIO!$B$7:$B$26,0)),"⚠ ID no existe"))</f>
        <v/>
      </c>
      <c r="F126" s="128" t="n"/>
      <c r="G126" s="129" t="n"/>
      <c r="H126" s="112">
        <f>IF($D126="","",IF($G126="",IFERROR(INDEX(INVENTARIO!$N$7:$N$26,MATCH($D126,INVENTARIO!$B$7:$B$26,0)),""),$G126))</f>
        <v/>
      </c>
      <c r="I126" s="114">
        <f>IF($D126="","",N($F126)*IF(ISNUMBER($H126),$H126,0))</f>
        <v/>
      </c>
      <c r="J126" s="115">
        <f>IF($D126="","",IFERROR(IF(INDEX(INVENTARIO!$O$7:$O$26,MATCH($D126,INVENTARIO!$B$7:$B$26,0))="",CFG_WALMART,INDEX(INVENTARIO!$O$7:$O$26,MATCH($D126,INVENTARIO!$B$7:$B$26,0))),CFG_WALMART))</f>
        <v/>
      </c>
      <c r="K126" s="112">
        <f>IF($D126="","",$I126*$J126)</f>
        <v/>
      </c>
      <c r="L126" s="129" t="n"/>
      <c r="M126" s="114">
        <f>IF($D126="","",$I126-$K126-N($L126))</f>
        <v/>
      </c>
      <c r="N126" s="113">
        <f>IF($D126="","",IFERROR(INDEX(INVENTARIO!$L$7:$L$26,MATCH($D126,INVENTARIO!$B$7:$B$26,0))*1,0))</f>
        <v/>
      </c>
      <c r="O126" s="112">
        <f>IF($D126="","",N($F126)*$N126)</f>
        <v/>
      </c>
      <c r="P126" s="114">
        <f>IF($D126="","",$M126-$O126)</f>
        <v/>
      </c>
      <c r="Q126" s="115">
        <f>IF($D126="","",IF($I126&gt;0,$P126/$I126,""))</f>
        <v/>
      </c>
      <c r="R126" s="127" t="n"/>
    </row>
    <row r="127">
      <c r="B127" s="130" t="n"/>
      <c r="C127" s="100" t="n"/>
      <c r="D127" s="100" t="n"/>
      <c r="E127" s="96">
        <f>IF($D127="","",IFERROR(INDEX(INVENTARIO!$C$7:$C$26,MATCH($D127,INVENTARIO!$B$7:$B$26,0)),"⚠ ID no existe"))</f>
        <v/>
      </c>
      <c r="F127" s="128" t="n"/>
      <c r="G127" s="129" t="n"/>
      <c r="H127" s="112">
        <f>IF($D127="","",IF($G127="",IFERROR(INDEX(INVENTARIO!$N$7:$N$26,MATCH($D127,INVENTARIO!$B$7:$B$26,0)),""),$G127))</f>
        <v/>
      </c>
      <c r="I127" s="114">
        <f>IF($D127="","",N($F127)*IF(ISNUMBER($H127),$H127,0))</f>
        <v/>
      </c>
      <c r="J127" s="115">
        <f>IF($D127="","",IFERROR(IF(INDEX(INVENTARIO!$O$7:$O$26,MATCH($D127,INVENTARIO!$B$7:$B$26,0))="",CFG_WALMART,INDEX(INVENTARIO!$O$7:$O$26,MATCH($D127,INVENTARIO!$B$7:$B$26,0))),CFG_WALMART))</f>
        <v/>
      </c>
      <c r="K127" s="112">
        <f>IF($D127="","",$I127*$J127)</f>
        <v/>
      </c>
      <c r="L127" s="129" t="n"/>
      <c r="M127" s="114">
        <f>IF($D127="","",$I127-$K127-N($L127))</f>
        <v/>
      </c>
      <c r="N127" s="113">
        <f>IF($D127="","",IFERROR(INDEX(INVENTARIO!$L$7:$L$26,MATCH($D127,INVENTARIO!$B$7:$B$26,0))*1,0))</f>
        <v/>
      </c>
      <c r="O127" s="112">
        <f>IF($D127="","",N($F127)*$N127)</f>
        <v/>
      </c>
      <c r="P127" s="114">
        <f>IF($D127="","",$M127-$O127)</f>
        <v/>
      </c>
      <c r="Q127" s="115">
        <f>IF($D127="","",IF($I127&gt;0,$P127/$I127,""))</f>
        <v/>
      </c>
      <c r="R127" s="127" t="n"/>
    </row>
    <row r="128">
      <c r="B128" s="130" t="n"/>
      <c r="C128" s="100" t="n"/>
      <c r="D128" s="100" t="n"/>
      <c r="E128" s="96">
        <f>IF($D128="","",IFERROR(INDEX(INVENTARIO!$C$7:$C$26,MATCH($D128,INVENTARIO!$B$7:$B$26,0)),"⚠ ID no existe"))</f>
        <v/>
      </c>
      <c r="F128" s="128" t="n"/>
      <c r="G128" s="129" t="n"/>
      <c r="H128" s="112">
        <f>IF($D128="","",IF($G128="",IFERROR(INDEX(INVENTARIO!$N$7:$N$26,MATCH($D128,INVENTARIO!$B$7:$B$26,0)),""),$G128))</f>
        <v/>
      </c>
      <c r="I128" s="114">
        <f>IF($D128="","",N($F128)*IF(ISNUMBER($H128),$H128,0))</f>
        <v/>
      </c>
      <c r="J128" s="115">
        <f>IF($D128="","",IFERROR(IF(INDEX(INVENTARIO!$O$7:$O$26,MATCH($D128,INVENTARIO!$B$7:$B$26,0))="",CFG_WALMART,INDEX(INVENTARIO!$O$7:$O$26,MATCH($D128,INVENTARIO!$B$7:$B$26,0))),CFG_WALMART))</f>
        <v/>
      </c>
      <c r="K128" s="112">
        <f>IF($D128="","",$I128*$J128)</f>
        <v/>
      </c>
      <c r="L128" s="129" t="n"/>
      <c r="M128" s="114">
        <f>IF($D128="","",$I128-$K128-N($L128))</f>
        <v/>
      </c>
      <c r="N128" s="113">
        <f>IF($D128="","",IFERROR(INDEX(INVENTARIO!$L$7:$L$26,MATCH($D128,INVENTARIO!$B$7:$B$26,0))*1,0))</f>
        <v/>
      </c>
      <c r="O128" s="112">
        <f>IF($D128="","",N($F128)*$N128)</f>
        <v/>
      </c>
      <c r="P128" s="114">
        <f>IF($D128="","",$M128-$O128)</f>
        <v/>
      </c>
      <c r="Q128" s="115">
        <f>IF($D128="","",IF($I128&gt;0,$P128/$I128,""))</f>
        <v/>
      </c>
      <c r="R128" s="127" t="n"/>
    </row>
    <row r="129">
      <c r="B129" s="130" t="n"/>
      <c r="C129" s="100" t="n"/>
      <c r="D129" s="100" t="n"/>
      <c r="E129" s="96">
        <f>IF($D129="","",IFERROR(INDEX(INVENTARIO!$C$7:$C$26,MATCH($D129,INVENTARIO!$B$7:$B$26,0)),"⚠ ID no existe"))</f>
        <v/>
      </c>
      <c r="F129" s="128" t="n"/>
      <c r="G129" s="129" t="n"/>
      <c r="H129" s="112">
        <f>IF($D129="","",IF($G129="",IFERROR(INDEX(INVENTARIO!$N$7:$N$26,MATCH($D129,INVENTARIO!$B$7:$B$26,0)),""),$G129))</f>
        <v/>
      </c>
      <c r="I129" s="114">
        <f>IF($D129="","",N($F129)*IF(ISNUMBER($H129),$H129,0))</f>
        <v/>
      </c>
      <c r="J129" s="115">
        <f>IF($D129="","",IFERROR(IF(INDEX(INVENTARIO!$O$7:$O$26,MATCH($D129,INVENTARIO!$B$7:$B$26,0))="",CFG_WALMART,INDEX(INVENTARIO!$O$7:$O$26,MATCH($D129,INVENTARIO!$B$7:$B$26,0))),CFG_WALMART))</f>
        <v/>
      </c>
      <c r="K129" s="112">
        <f>IF($D129="","",$I129*$J129)</f>
        <v/>
      </c>
      <c r="L129" s="129" t="n"/>
      <c r="M129" s="114">
        <f>IF($D129="","",$I129-$K129-N($L129))</f>
        <v/>
      </c>
      <c r="N129" s="113">
        <f>IF($D129="","",IFERROR(INDEX(INVENTARIO!$L$7:$L$26,MATCH($D129,INVENTARIO!$B$7:$B$26,0))*1,0))</f>
        <v/>
      </c>
      <c r="O129" s="112">
        <f>IF($D129="","",N($F129)*$N129)</f>
        <v/>
      </c>
      <c r="P129" s="114">
        <f>IF($D129="","",$M129-$O129)</f>
        <v/>
      </c>
      <c r="Q129" s="115">
        <f>IF($D129="","",IF($I129&gt;0,$P129/$I129,""))</f>
        <v/>
      </c>
      <c r="R129" s="127" t="n"/>
    </row>
    <row r="130">
      <c r="B130" s="130" t="n"/>
      <c r="C130" s="100" t="n"/>
      <c r="D130" s="100" t="n"/>
      <c r="E130" s="96">
        <f>IF($D130="","",IFERROR(INDEX(INVENTARIO!$C$7:$C$26,MATCH($D130,INVENTARIO!$B$7:$B$26,0)),"⚠ ID no existe"))</f>
        <v/>
      </c>
      <c r="F130" s="128" t="n"/>
      <c r="G130" s="129" t="n"/>
      <c r="H130" s="112">
        <f>IF($D130="","",IF($G130="",IFERROR(INDEX(INVENTARIO!$N$7:$N$26,MATCH($D130,INVENTARIO!$B$7:$B$26,0)),""),$G130))</f>
        <v/>
      </c>
      <c r="I130" s="114">
        <f>IF($D130="","",N($F130)*IF(ISNUMBER($H130),$H130,0))</f>
        <v/>
      </c>
      <c r="J130" s="115">
        <f>IF($D130="","",IFERROR(IF(INDEX(INVENTARIO!$O$7:$O$26,MATCH($D130,INVENTARIO!$B$7:$B$26,0))="",CFG_WALMART,INDEX(INVENTARIO!$O$7:$O$26,MATCH($D130,INVENTARIO!$B$7:$B$26,0))),CFG_WALMART))</f>
        <v/>
      </c>
      <c r="K130" s="112">
        <f>IF($D130="","",$I130*$J130)</f>
        <v/>
      </c>
      <c r="L130" s="129" t="n"/>
      <c r="M130" s="114">
        <f>IF($D130="","",$I130-$K130-N($L130))</f>
        <v/>
      </c>
      <c r="N130" s="113">
        <f>IF($D130="","",IFERROR(INDEX(INVENTARIO!$L$7:$L$26,MATCH($D130,INVENTARIO!$B$7:$B$26,0))*1,0))</f>
        <v/>
      </c>
      <c r="O130" s="112">
        <f>IF($D130="","",N($F130)*$N130)</f>
        <v/>
      </c>
      <c r="P130" s="114">
        <f>IF($D130="","",$M130-$O130)</f>
        <v/>
      </c>
      <c r="Q130" s="115">
        <f>IF($D130="","",IF($I130&gt;0,$P130/$I130,""))</f>
        <v/>
      </c>
      <c r="R130" s="127" t="n"/>
    </row>
    <row r="131">
      <c r="B131" s="130" t="n"/>
      <c r="C131" s="100" t="n"/>
      <c r="D131" s="100" t="n"/>
      <c r="E131" s="96">
        <f>IF($D131="","",IFERROR(INDEX(INVENTARIO!$C$7:$C$26,MATCH($D131,INVENTARIO!$B$7:$B$26,0)),"⚠ ID no existe"))</f>
        <v/>
      </c>
      <c r="F131" s="128" t="n"/>
      <c r="G131" s="129" t="n"/>
      <c r="H131" s="112">
        <f>IF($D131="","",IF($G131="",IFERROR(INDEX(INVENTARIO!$N$7:$N$26,MATCH($D131,INVENTARIO!$B$7:$B$26,0)),""),$G131))</f>
        <v/>
      </c>
      <c r="I131" s="114">
        <f>IF($D131="","",N($F131)*IF(ISNUMBER($H131),$H131,0))</f>
        <v/>
      </c>
      <c r="J131" s="115">
        <f>IF($D131="","",IFERROR(IF(INDEX(INVENTARIO!$O$7:$O$26,MATCH($D131,INVENTARIO!$B$7:$B$26,0))="",CFG_WALMART,INDEX(INVENTARIO!$O$7:$O$26,MATCH($D131,INVENTARIO!$B$7:$B$26,0))),CFG_WALMART))</f>
        <v/>
      </c>
      <c r="K131" s="112">
        <f>IF($D131="","",$I131*$J131)</f>
        <v/>
      </c>
      <c r="L131" s="129" t="n"/>
      <c r="M131" s="114">
        <f>IF($D131="","",$I131-$K131-N($L131))</f>
        <v/>
      </c>
      <c r="N131" s="113">
        <f>IF($D131="","",IFERROR(INDEX(INVENTARIO!$L$7:$L$26,MATCH($D131,INVENTARIO!$B$7:$B$26,0))*1,0))</f>
        <v/>
      </c>
      <c r="O131" s="112">
        <f>IF($D131="","",N($F131)*$N131)</f>
        <v/>
      </c>
      <c r="P131" s="114">
        <f>IF($D131="","",$M131-$O131)</f>
        <v/>
      </c>
      <c r="Q131" s="115">
        <f>IF($D131="","",IF($I131&gt;0,$P131/$I131,""))</f>
        <v/>
      </c>
      <c r="R131" s="127" t="n"/>
    </row>
    <row r="132">
      <c r="B132" s="130" t="n"/>
      <c r="C132" s="100" t="n"/>
      <c r="D132" s="100" t="n"/>
      <c r="E132" s="96">
        <f>IF($D132="","",IFERROR(INDEX(INVENTARIO!$C$7:$C$26,MATCH($D132,INVENTARIO!$B$7:$B$26,0)),"⚠ ID no existe"))</f>
        <v/>
      </c>
      <c r="F132" s="128" t="n"/>
      <c r="G132" s="129" t="n"/>
      <c r="H132" s="112">
        <f>IF($D132="","",IF($G132="",IFERROR(INDEX(INVENTARIO!$N$7:$N$26,MATCH($D132,INVENTARIO!$B$7:$B$26,0)),""),$G132))</f>
        <v/>
      </c>
      <c r="I132" s="114">
        <f>IF($D132="","",N($F132)*IF(ISNUMBER($H132),$H132,0))</f>
        <v/>
      </c>
      <c r="J132" s="115">
        <f>IF($D132="","",IFERROR(IF(INDEX(INVENTARIO!$O$7:$O$26,MATCH($D132,INVENTARIO!$B$7:$B$26,0))="",CFG_WALMART,INDEX(INVENTARIO!$O$7:$O$26,MATCH($D132,INVENTARIO!$B$7:$B$26,0))),CFG_WALMART))</f>
        <v/>
      </c>
      <c r="K132" s="112">
        <f>IF($D132="","",$I132*$J132)</f>
        <v/>
      </c>
      <c r="L132" s="129" t="n"/>
      <c r="M132" s="114">
        <f>IF($D132="","",$I132-$K132-N($L132))</f>
        <v/>
      </c>
      <c r="N132" s="113">
        <f>IF($D132="","",IFERROR(INDEX(INVENTARIO!$L$7:$L$26,MATCH($D132,INVENTARIO!$B$7:$B$26,0))*1,0))</f>
        <v/>
      </c>
      <c r="O132" s="112">
        <f>IF($D132="","",N($F132)*$N132)</f>
        <v/>
      </c>
      <c r="P132" s="114">
        <f>IF($D132="","",$M132-$O132)</f>
        <v/>
      </c>
      <c r="Q132" s="115">
        <f>IF($D132="","",IF($I132&gt;0,$P132/$I132,""))</f>
        <v/>
      </c>
      <c r="R132" s="127" t="n"/>
    </row>
    <row r="133">
      <c r="B133" s="130" t="n"/>
      <c r="C133" s="100" t="n"/>
      <c r="D133" s="100" t="n"/>
      <c r="E133" s="96">
        <f>IF($D133="","",IFERROR(INDEX(INVENTARIO!$C$7:$C$26,MATCH($D133,INVENTARIO!$B$7:$B$26,0)),"⚠ ID no existe"))</f>
        <v/>
      </c>
      <c r="F133" s="128" t="n"/>
      <c r="G133" s="129" t="n"/>
      <c r="H133" s="112">
        <f>IF($D133="","",IF($G133="",IFERROR(INDEX(INVENTARIO!$N$7:$N$26,MATCH($D133,INVENTARIO!$B$7:$B$26,0)),""),$G133))</f>
        <v/>
      </c>
      <c r="I133" s="114">
        <f>IF($D133="","",N($F133)*IF(ISNUMBER($H133),$H133,0))</f>
        <v/>
      </c>
      <c r="J133" s="115">
        <f>IF($D133="","",IFERROR(IF(INDEX(INVENTARIO!$O$7:$O$26,MATCH($D133,INVENTARIO!$B$7:$B$26,0))="",CFG_WALMART,INDEX(INVENTARIO!$O$7:$O$26,MATCH($D133,INVENTARIO!$B$7:$B$26,0))),CFG_WALMART))</f>
        <v/>
      </c>
      <c r="K133" s="112">
        <f>IF($D133="","",$I133*$J133)</f>
        <v/>
      </c>
      <c r="L133" s="129" t="n"/>
      <c r="M133" s="114">
        <f>IF($D133="","",$I133-$K133-N($L133))</f>
        <v/>
      </c>
      <c r="N133" s="113">
        <f>IF($D133="","",IFERROR(INDEX(INVENTARIO!$L$7:$L$26,MATCH($D133,INVENTARIO!$B$7:$B$26,0))*1,0))</f>
        <v/>
      </c>
      <c r="O133" s="112">
        <f>IF($D133="","",N($F133)*$N133)</f>
        <v/>
      </c>
      <c r="P133" s="114">
        <f>IF($D133="","",$M133-$O133)</f>
        <v/>
      </c>
      <c r="Q133" s="115">
        <f>IF($D133="","",IF($I133&gt;0,$P133/$I133,""))</f>
        <v/>
      </c>
      <c r="R133" s="127" t="n"/>
    </row>
    <row r="134">
      <c r="B134" s="130" t="n"/>
      <c r="C134" s="100" t="n"/>
      <c r="D134" s="100" t="n"/>
      <c r="E134" s="96">
        <f>IF($D134="","",IFERROR(INDEX(INVENTARIO!$C$7:$C$26,MATCH($D134,INVENTARIO!$B$7:$B$26,0)),"⚠ ID no existe"))</f>
        <v/>
      </c>
      <c r="F134" s="128" t="n"/>
      <c r="G134" s="129" t="n"/>
      <c r="H134" s="112">
        <f>IF($D134="","",IF($G134="",IFERROR(INDEX(INVENTARIO!$N$7:$N$26,MATCH($D134,INVENTARIO!$B$7:$B$26,0)),""),$G134))</f>
        <v/>
      </c>
      <c r="I134" s="114">
        <f>IF($D134="","",N($F134)*IF(ISNUMBER($H134),$H134,0))</f>
        <v/>
      </c>
      <c r="J134" s="115">
        <f>IF($D134="","",IFERROR(IF(INDEX(INVENTARIO!$O$7:$O$26,MATCH($D134,INVENTARIO!$B$7:$B$26,0))="",CFG_WALMART,INDEX(INVENTARIO!$O$7:$O$26,MATCH($D134,INVENTARIO!$B$7:$B$26,0))),CFG_WALMART))</f>
        <v/>
      </c>
      <c r="K134" s="112">
        <f>IF($D134="","",$I134*$J134)</f>
        <v/>
      </c>
      <c r="L134" s="129" t="n"/>
      <c r="M134" s="114">
        <f>IF($D134="","",$I134-$K134-N($L134))</f>
        <v/>
      </c>
      <c r="N134" s="113">
        <f>IF($D134="","",IFERROR(INDEX(INVENTARIO!$L$7:$L$26,MATCH($D134,INVENTARIO!$B$7:$B$26,0))*1,0))</f>
        <v/>
      </c>
      <c r="O134" s="112">
        <f>IF($D134="","",N($F134)*$N134)</f>
        <v/>
      </c>
      <c r="P134" s="114">
        <f>IF($D134="","",$M134-$O134)</f>
        <v/>
      </c>
      <c r="Q134" s="115">
        <f>IF($D134="","",IF($I134&gt;0,$P134/$I134,""))</f>
        <v/>
      </c>
      <c r="R134" s="127" t="n"/>
    </row>
    <row r="135">
      <c r="B135" s="130" t="n"/>
      <c r="C135" s="100" t="n"/>
      <c r="D135" s="100" t="n"/>
      <c r="E135" s="96">
        <f>IF($D135="","",IFERROR(INDEX(INVENTARIO!$C$7:$C$26,MATCH($D135,INVENTARIO!$B$7:$B$26,0)),"⚠ ID no existe"))</f>
        <v/>
      </c>
      <c r="F135" s="128" t="n"/>
      <c r="G135" s="129" t="n"/>
      <c r="H135" s="112">
        <f>IF($D135="","",IF($G135="",IFERROR(INDEX(INVENTARIO!$N$7:$N$26,MATCH($D135,INVENTARIO!$B$7:$B$26,0)),""),$G135))</f>
        <v/>
      </c>
      <c r="I135" s="114">
        <f>IF($D135="","",N($F135)*IF(ISNUMBER($H135),$H135,0))</f>
        <v/>
      </c>
      <c r="J135" s="115">
        <f>IF($D135="","",IFERROR(IF(INDEX(INVENTARIO!$O$7:$O$26,MATCH($D135,INVENTARIO!$B$7:$B$26,0))="",CFG_WALMART,INDEX(INVENTARIO!$O$7:$O$26,MATCH($D135,INVENTARIO!$B$7:$B$26,0))),CFG_WALMART))</f>
        <v/>
      </c>
      <c r="K135" s="112">
        <f>IF($D135="","",$I135*$J135)</f>
        <v/>
      </c>
      <c r="L135" s="129" t="n"/>
      <c r="M135" s="114">
        <f>IF($D135="","",$I135-$K135-N($L135))</f>
        <v/>
      </c>
      <c r="N135" s="113">
        <f>IF($D135="","",IFERROR(INDEX(INVENTARIO!$L$7:$L$26,MATCH($D135,INVENTARIO!$B$7:$B$26,0))*1,0))</f>
        <v/>
      </c>
      <c r="O135" s="112">
        <f>IF($D135="","",N($F135)*$N135)</f>
        <v/>
      </c>
      <c r="P135" s="114">
        <f>IF($D135="","",$M135-$O135)</f>
        <v/>
      </c>
      <c r="Q135" s="115">
        <f>IF($D135="","",IF($I135&gt;0,$P135/$I135,""))</f>
        <v/>
      </c>
      <c r="R135" s="127" t="n"/>
    </row>
    <row r="136">
      <c r="B136" s="130" t="n"/>
      <c r="C136" s="100" t="n"/>
      <c r="D136" s="100" t="n"/>
      <c r="E136" s="96">
        <f>IF($D136="","",IFERROR(INDEX(INVENTARIO!$C$7:$C$26,MATCH($D136,INVENTARIO!$B$7:$B$26,0)),"⚠ ID no existe"))</f>
        <v/>
      </c>
      <c r="F136" s="128" t="n"/>
      <c r="G136" s="129" t="n"/>
      <c r="H136" s="112">
        <f>IF($D136="","",IF($G136="",IFERROR(INDEX(INVENTARIO!$N$7:$N$26,MATCH($D136,INVENTARIO!$B$7:$B$26,0)),""),$G136))</f>
        <v/>
      </c>
      <c r="I136" s="114">
        <f>IF($D136="","",N($F136)*IF(ISNUMBER($H136),$H136,0))</f>
        <v/>
      </c>
      <c r="J136" s="115">
        <f>IF($D136="","",IFERROR(IF(INDEX(INVENTARIO!$O$7:$O$26,MATCH($D136,INVENTARIO!$B$7:$B$26,0))="",CFG_WALMART,INDEX(INVENTARIO!$O$7:$O$26,MATCH($D136,INVENTARIO!$B$7:$B$26,0))),CFG_WALMART))</f>
        <v/>
      </c>
      <c r="K136" s="112">
        <f>IF($D136="","",$I136*$J136)</f>
        <v/>
      </c>
      <c r="L136" s="129" t="n"/>
      <c r="M136" s="114">
        <f>IF($D136="","",$I136-$K136-N($L136))</f>
        <v/>
      </c>
      <c r="N136" s="113">
        <f>IF($D136="","",IFERROR(INDEX(INVENTARIO!$L$7:$L$26,MATCH($D136,INVENTARIO!$B$7:$B$26,0))*1,0))</f>
        <v/>
      </c>
      <c r="O136" s="112">
        <f>IF($D136="","",N($F136)*$N136)</f>
        <v/>
      </c>
      <c r="P136" s="114">
        <f>IF($D136="","",$M136-$O136)</f>
        <v/>
      </c>
      <c r="Q136" s="115">
        <f>IF($D136="","",IF($I136&gt;0,$P136/$I136,""))</f>
        <v/>
      </c>
      <c r="R136" s="127" t="n"/>
    </row>
    <row r="137">
      <c r="B137" s="130" t="n"/>
      <c r="C137" s="100" t="n"/>
      <c r="D137" s="100" t="n"/>
      <c r="E137" s="96">
        <f>IF($D137="","",IFERROR(INDEX(INVENTARIO!$C$7:$C$26,MATCH($D137,INVENTARIO!$B$7:$B$26,0)),"⚠ ID no existe"))</f>
        <v/>
      </c>
      <c r="F137" s="128" t="n"/>
      <c r="G137" s="129" t="n"/>
      <c r="H137" s="112">
        <f>IF($D137="","",IF($G137="",IFERROR(INDEX(INVENTARIO!$N$7:$N$26,MATCH($D137,INVENTARIO!$B$7:$B$26,0)),""),$G137))</f>
        <v/>
      </c>
      <c r="I137" s="114">
        <f>IF($D137="","",N($F137)*IF(ISNUMBER($H137),$H137,0))</f>
        <v/>
      </c>
      <c r="J137" s="115">
        <f>IF($D137="","",IFERROR(IF(INDEX(INVENTARIO!$O$7:$O$26,MATCH($D137,INVENTARIO!$B$7:$B$26,0))="",CFG_WALMART,INDEX(INVENTARIO!$O$7:$O$26,MATCH($D137,INVENTARIO!$B$7:$B$26,0))),CFG_WALMART))</f>
        <v/>
      </c>
      <c r="K137" s="112">
        <f>IF($D137="","",$I137*$J137)</f>
        <v/>
      </c>
      <c r="L137" s="129" t="n"/>
      <c r="M137" s="114">
        <f>IF($D137="","",$I137-$K137-N($L137))</f>
        <v/>
      </c>
      <c r="N137" s="113">
        <f>IF($D137="","",IFERROR(INDEX(INVENTARIO!$L$7:$L$26,MATCH($D137,INVENTARIO!$B$7:$B$26,0))*1,0))</f>
        <v/>
      </c>
      <c r="O137" s="112">
        <f>IF($D137="","",N($F137)*$N137)</f>
        <v/>
      </c>
      <c r="P137" s="114">
        <f>IF($D137="","",$M137-$O137)</f>
        <v/>
      </c>
      <c r="Q137" s="115">
        <f>IF($D137="","",IF($I137&gt;0,$P137/$I137,""))</f>
        <v/>
      </c>
      <c r="R137" s="127" t="n"/>
    </row>
    <row r="138">
      <c r="B138" s="130" t="n"/>
      <c r="C138" s="100" t="n"/>
      <c r="D138" s="100" t="n"/>
      <c r="E138" s="96">
        <f>IF($D138="","",IFERROR(INDEX(INVENTARIO!$C$7:$C$26,MATCH($D138,INVENTARIO!$B$7:$B$26,0)),"⚠ ID no existe"))</f>
        <v/>
      </c>
      <c r="F138" s="128" t="n"/>
      <c r="G138" s="129" t="n"/>
      <c r="H138" s="112">
        <f>IF($D138="","",IF($G138="",IFERROR(INDEX(INVENTARIO!$N$7:$N$26,MATCH($D138,INVENTARIO!$B$7:$B$26,0)),""),$G138))</f>
        <v/>
      </c>
      <c r="I138" s="114">
        <f>IF($D138="","",N($F138)*IF(ISNUMBER($H138),$H138,0))</f>
        <v/>
      </c>
      <c r="J138" s="115">
        <f>IF($D138="","",IFERROR(IF(INDEX(INVENTARIO!$O$7:$O$26,MATCH($D138,INVENTARIO!$B$7:$B$26,0))="",CFG_WALMART,INDEX(INVENTARIO!$O$7:$O$26,MATCH($D138,INVENTARIO!$B$7:$B$26,0))),CFG_WALMART))</f>
        <v/>
      </c>
      <c r="K138" s="112">
        <f>IF($D138="","",$I138*$J138)</f>
        <v/>
      </c>
      <c r="L138" s="129" t="n"/>
      <c r="M138" s="114">
        <f>IF($D138="","",$I138-$K138-N($L138))</f>
        <v/>
      </c>
      <c r="N138" s="113">
        <f>IF($D138="","",IFERROR(INDEX(INVENTARIO!$L$7:$L$26,MATCH($D138,INVENTARIO!$B$7:$B$26,0))*1,0))</f>
        <v/>
      </c>
      <c r="O138" s="112">
        <f>IF($D138="","",N($F138)*$N138)</f>
        <v/>
      </c>
      <c r="P138" s="114">
        <f>IF($D138="","",$M138-$O138)</f>
        <v/>
      </c>
      <c r="Q138" s="115">
        <f>IF($D138="","",IF($I138&gt;0,$P138/$I138,""))</f>
        <v/>
      </c>
      <c r="R138" s="127" t="n"/>
    </row>
    <row r="139">
      <c r="B139" s="130" t="n"/>
      <c r="C139" s="100" t="n"/>
      <c r="D139" s="100" t="n"/>
      <c r="E139" s="96">
        <f>IF($D139="","",IFERROR(INDEX(INVENTARIO!$C$7:$C$26,MATCH($D139,INVENTARIO!$B$7:$B$26,0)),"⚠ ID no existe"))</f>
        <v/>
      </c>
      <c r="F139" s="128" t="n"/>
      <c r="G139" s="129" t="n"/>
      <c r="H139" s="112">
        <f>IF($D139="","",IF($G139="",IFERROR(INDEX(INVENTARIO!$N$7:$N$26,MATCH($D139,INVENTARIO!$B$7:$B$26,0)),""),$G139))</f>
        <v/>
      </c>
      <c r="I139" s="114">
        <f>IF($D139="","",N($F139)*IF(ISNUMBER($H139),$H139,0))</f>
        <v/>
      </c>
      <c r="J139" s="115">
        <f>IF($D139="","",IFERROR(IF(INDEX(INVENTARIO!$O$7:$O$26,MATCH($D139,INVENTARIO!$B$7:$B$26,0))="",CFG_WALMART,INDEX(INVENTARIO!$O$7:$O$26,MATCH($D139,INVENTARIO!$B$7:$B$26,0))),CFG_WALMART))</f>
        <v/>
      </c>
      <c r="K139" s="112">
        <f>IF($D139="","",$I139*$J139)</f>
        <v/>
      </c>
      <c r="L139" s="129" t="n"/>
      <c r="M139" s="114">
        <f>IF($D139="","",$I139-$K139-N($L139))</f>
        <v/>
      </c>
      <c r="N139" s="113">
        <f>IF($D139="","",IFERROR(INDEX(INVENTARIO!$L$7:$L$26,MATCH($D139,INVENTARIO!$B$7:$B$26,0))*1,0))</f>
        <v/>
      </c>
      <c r="O139" s="112">
        <f>IF($D139="","",N($F139)*$N139)</f>
        <v/>
      </c>
      <c r="P139" s="114">
        <f>IF($D139="","",$M139-$O139)</f>
        <v/>
      </c>
      <c r="Q139" s="115">
        <f>IF($D139="","",IF($I139&gt;0,$P139/$I139,""))</f>
        <v/>
      </c>
      <c r="R139" s="127" t="n"/>
    </row>
    <row r="140">
      <c r="B140" s="130" t="n"/>
      <c r="C140" s="100" t="n"/>
      <c r="D140" s="100" t="n"/>
      <c r="E140" s="96">
        <f>IF($D140="","",IFERROR(INDEX(INVENTARIO!$C$7:$C$26,MATCH($D140,INVENTARIO!$B$7:$B$26,0)),"⚠ ID no existe"))</f>
        <v/>
      </c>
      <c r="F140" s="128" t="n"/>
      <c r="G140" s="129" t="n"/>
      <c r="H140" s="112">
        <f>IF($D140="","",IF($G140="",IFERROR(INDEX(INVENTARIO!$N$7:$N$26,MATCH($D140,INVENTARIO!$B$7:$B$26,0)),""),$G140))</f>
        <v/>
      </c>
      <c r="I140" s="114">
        <f>IF($D140="","",N($F140)*IF(ISNUMBER($H140),$H140,0))</f>
        <v/>
      </c>
      <c r="J140" s="115">
        <f>IF($D140="","",IFERROR(IF(INDEX(INVENTARIO!$O$7:$O$26,MATCH($D140,INVENTARIO!$B$7:$B$26,0))="",CFG_WALMART,INDEX(INVENTARIO!$O$7:$O$26,MATCH($D140,INVENTARIO!$B$7:$B$26,0))),CFG_WALMART))</f>
        <v/>
      </c>
      <c r="K140" s="112">
        <f>IF($D140="","",$I140*$J140)</f>
        <v/>
      </c>
      <c r="L140" s="129" t="n"/>
      <c r="M140" s="114">
        <f>IF($D140="","",$I140-$K140-N($L140))</f>
        <v/>
      </c>
      <c r="N140" s="113">
        <f>IF($D140="","",IFERROR(INDEX(INVENTARIO!$L$7:$L$26,MATCH($D140,INVENTARIO!$B$7:$B$26,0))*1,0))</f>
        <v/>
      </c>
      <c r="O140" s="112">
        <f>IF($D140="","",N($F140)*$N140)</f>
        <v/>
      </c>
      <c r="P140" s="114">
        <f>IF($D140="","",$M140-$O140)</f>
        <v/>
      </c>
      <c r="Q140" s="115">
        <f>IF($D140="","",IF($I140&gt;0,$P140/$I140,""))</f>
        <v/>
      </c>
      <c r="R140" s="127" t="n"/>
    </row>
    <row r="141">
      <c r="B141" s="130" t="n"/>
      <c r="C141" s="100" t="n"/>
      <c r="D141" s="100" t="n"/>
      <c r="E141" s="96">
        <f>IF($D141="","",IFERROR(INDEX(INVENTARIO!$C$7:$C$26,MATCH($D141,INVENTARIO!$B$7:$B$26,0)),"⚠ ID no existe"))</f>
        <v/>
      </c>
      <c r="F141" s="128" t="n"/>
      <c r="G141" s="129" t="n"/>
      <c r="H141" s="112">
        <f>IF($D141="","",IF($G141="",IFERROR(INDEX(INVENTARIO!$N$7:$N$26,MATCH($D141,INVENTARIO!$B$7:$B$26,0)),""),$G141))</f>
        <v/>
      </c>
      <c r="I141" s="114">
        <f>IF($D141="","",N($F141)*IF(ISNUMBER($H141),$H141,0))</f>
        <v/>
      </c>
      <c r="J141" s="115">
        <f>IF($D141="","",IFERROR(IF(INDEX(INVENTARIO!$O$7:$O$26,MATCH($D141,INVENTARIO!$B$7:$B$26,0))="",CFG_WALMART,INDEX(INVENTARIO!$O$7:$O$26,MATCH($D141,INVENTARIO!$B$7:$B$26,0))),CFG_WALMART))</f>
        <v/>
      </c>
      <c r="K141" s="112">
        <f>IF($D141="","",$I141*$J141)</f>
        <v/>
      </c>
      <c r="L141" s="129" t="n"/>
      <c r="M141" s="114">
        <f>IF($D141="","",$I141-$K141-N($L141))</f>
        <v/>
      </c>
      <c r="N141" s="113">
        <f>IF($D141="","",IFERROR(INDEX(INVENTARIO!$L$7:$L$26,MATCH($D141,INVENTARIO!$B$7:$B$26,0))*1,0))</f>
        <v/>
      </c>
      <c r="O141" s="112">
        <f>IF($D141="","",N($F141)*$N141)</f>
        <v/>
      </c>
      <c r="P141" s="114">
        <f>IF($D141="","",$M141-$O141)</f>
        <v/>
      </c>
      <c r="Q141" s="115">
        <f>IF($D141="","",IF($I141&gt;0,$P141/$I141,""))</f>
        <v/>
      </c>
      <c r="R141" s="127" t="n"/>
    </row>
    <row r="142">
      <c r="B142" s="130" t="n"/>
      <c r="C142" s="100" t="n"/>
      <c r="D142" s="100" t="n"/>
      <c r="E142" s="96">
        <f>IF($D142="","",IFERROR(INDEX(INVENTARIO!$C$7:$C$26,MATCH($D142,INVENTARIO!$B$7:$B$26,0)),"⚠ ID no existe"))</f>
        <v/>
      </c>
      <c r="F142" s="128" t="n"/>
      <c r="G142" s="129" t="n"/>
      <c r="H142" s="112">
        <f>IF($D142="","",IF($G142="",IFERROR(INDEX(INVENTARIO!$N$7:$N$26,MATCH($D142,INVENTARIO!$B$7:$B$26,0)),""),$G142))</f>
        <v/>
      </c>
      <c r="I142" s="114">
        <f>IF($D142="","",N($F142)*IF(ISNUMBER($H142),$H142,0))</f>
        <v/>
      </c>
      <c r="J142" s="115">
        <f>IF($D142="","",IFERROR(IF(INDEX(INVENTARIO!$O$7:$O$26,MATCH($D142,INVENTARIO!$B$7:$B$26,0))="",CFG_WALMART,INDEX(INVENTARIO!$O$7:$O$26,MATCH($D142,INVENTARIO!$B$7:$B$26,0))),CFG_WALMART))</f>
        <v/>
      </c>
      <c r="K142" s="112">
        <f>IF($D142="","",$I142*$J142)</f>
        <v/>
      </c>
      <c r="L142" s="129" t="n"/>
      <c r="M142" s="114">
        <f>IF($D142="","",$I142-$K142-N($L142))</f>
        <v/>
      </c>
      <c r="N142" s="113">
        <f>IF($D142="","",IFERROR(INDEX(INVENTARIO!$L$7:$L$26,MATCH($D142,INVENTARIO!$B$7:$B$26,0))*1,0))</f>
        <v/>
      </c>
      <c r="O142" s="112">
        <f>IF($D142="","",N($F142)*$N142)</f>
        <v/>
      </c>
      <c r="P142" s="114">
        <f>IF($D142="","",$M142-$O142)</f>
        <v/>
      </c>
      <c r="Q142" s="115">
        <f>IF($D142="","",IF($I142&gt;0,$P142/$I142,""))</f>
        <v/>
      </c>
      <c r="R142" s="127" t="n"/>
    </row>
    <row r="143">
      <c r="B143" s="130" t="n"/>
      <c r="C143" s="100" t="n"/>
      <c r="D143" s="100" t="n"/>
      <c r="E143" s="96">
        <f>IF($D143="","",IFERROR(INDEX(INVENTARIO!$C$7:$C$26,MATCH($D143,INVENTARIO!$B$7:$B$26,0)),"⚠ ID no existe"))</f>
        <v/>
      </c>
      <c r="F143" s="128" t="n"/>
      <c r="G143" s="129" t="n"/>
      <c r="H143" s="112">
        <f>IF($D143="","",IF($G143="",IFERROR(INDEX(INVENTARIO!$N$7:$N$26,MATCH($D143,INVENTARIO!$B$7:$B$26,0)),""),$G143))</f>
        <v/>
      </c>
      <c r="I143" s="114">
        <f>IF($D143="","",N($F143)*IF(ISNUMBER($H143),$H143,0))</f>
        <v/>
      </c>
      <c r="J143" s="115">
        <f>IF($D143="","",IFERROR(IF(INDEX(INVENTARIO!$O$7:$O$26,MATCH($D143,INVENTARIO!$B$7:$B$26,0))="",CFG_WALMART,INDEX(INVENTARIO!$O$7:$O$26,MATCH($D143,INVENTARIO!$B$7:$B$26,0))),CFG_WALMART))</f>
        <v/>
      </c>
      <c r="K143" s="112">
        <f>IF($D143="","",$I143*$J143)</f>
        <v/>
      </c>
      <c r="L143" s="129" t="n"/>
      <c r="M143" s="114">
        <f>IF($D143="","",$I143-$K143-N($L143))</f>
        <v/>
      </c>
      <c r="N143" s="113">
        <f>IF($D143="","",IFERROR(INDEX(INVENTARIO!$L$7:$L$26,MATCH($D143,INVENTARIO!$B$7:$B$26,0))*1,0))</f>
        <v/>
      </c>
      <c r="O143" s="112">
        <f>IF($D143="","",N($F143)*$N143)</f>
        <v/>
      </c>
      <c r="P143" s="114">
        <f>IF($D143="","",$M143-$O143)</f>
        <v/>
      </c>
      <c r="Q143" s="115">
        <f>IF($D143="","",IF($I143&gt;0,$P143/$I143,""))</f>
        <v/>
      </c>
      <c r="R143" s="127" t="n"/>
    </row>
    <row r="144">
      <c r="B144" s="130" t="n"/>
      <c r="C144" s="100" t="n"/>
      <c r="D144" s="100" t="n"/>
      <c r="E144" s="96">
        <f>IF($D144="","",IFERROR(INDEX(INVENTARIO!$C$7:$C$26,MATCH($D144,INVENTARIO!$B$7:$B$26,0)),"⚠ ID no existe"))</f>
        <v/>
      </c>
      <c r="F144" s="128" t="n"/>
      <c r="G144" s="129" t="n"/>
      <c r="H144" s="112">
        <f>IF($D144="","",IF($G144="",IFERROR(INDEX(INVENTARIO!$N$7:$N$26,MATCH($D144,INVENTARIO!$B$7:$B$26,0)),""),$G144))</f>
        <v/>
      </c>
      <c r="I144" s="114">
        <f>IF($D144="","",N($F144)*IF(ISNUMBER($H144),$H144,0))</f>
        <v/>
      </c>
      <c r="J144" s="115">
        <f>IF($D144="","",IFERROR(IF(INDEX(INVENTARIO!$O$7:$O$26,MATCH($D144,INVENTARIO!$B$7:$B$26,0))="",CFG_WALMART,INDEX(INVENTARIO!$O$7:$O$26,MATCH($D144,INVENTARIO!$B$7:$B$26,0))),CFG_WALMART))</f>
        <v/>
      </c>
      <c r="K144" s="112">
        <f>IF($D144="","",$I144*$J144)</f>
        <v/>
      </c>
      <c r="L144" s="129" t="n"/>
      <c r="M144" s="114">
        <f>IF($D144="","",$I144-$K144-N($L144))</f>
        <v/>
      </c>
      <c r="N144" s="113">
        <f>IF($D144="","",IFERROR(INDEX(INVENTARIO!$L$7:$L$26,MATCH($D144,INVENTARIO!$B$7:$B$26,0))*1,0))</f>
        <v/>
      </c>
      <c r="O144" s="112">
        <f>IF($D144="","",N($F144)*$N144)</f>
        <v/>
      </c>
      <c r="P144" s="114">
        <f>IF($D144="","",$M144-$O144)</f>
        <v/>
      </c>
      <c r="Q144" s="115">
        <f>IF($D144="","",IF($I144&gt;0,$P144/$I144,""))</f>
        <v/>
      </c>
      <c r="R144" s="127" t="n"/>
    </row>
    <row r="145">
      <c r="B145" s="130" t="n"/>
      <c r="C145" s="100" t="n"/>
      <c r="D145" s="100" t="n"/>
      <c r="E145" s="96">
        <f>IF($D145="","",IFERROR(INDEX(INVENTARIO!$C$7:$C$26,MATCH($D145,INVENTARIO!$B$7:$B$26,0)),"⚠ ID no existe"))</f>
        <v/>
      </c>
      <c r="F145" s="128" t="n"/>
      <c r="G145" s="129" t="n"/>
      <c r="H145" s="112">
        <f>IF($D145="","",IF($G145="",IFERROR(INDEX(INVENTARIO!$N$7:$N$26,MATCH($D145,INVENTARIO!$B$7:$B$26,0)),""),$G145))</f>
        <v/>
      </c>
      <c r="I145" s="114">
        <f>IF($D145="","",N($F145)*IF(ISNUMBER($H145),$H145,0))</f>
        <v/>
      </c>
      <c r="J145" s="115">
        <f>IF($D145="","",IFERROR(IF(INDEX(INVENTARIO!$O$7:$O$26,MATCH($D145,INVENTARIO!$B$7:$B$26,0))="",CFG_WALMART,INDEX(INVENTARIO!$O$7:$O$26,MATCH($D145,INVENTARIO!$B$7:$B$26,0))),CFG_WALMART))</f>
        <v/>
      </c>
      <c r="K145" s="112">
        <f>IF($D145="","",$I145*$J145)</f>
        <v/>
      </c>
      <c r="L145" s="129" t="n"/>
      <c r="M145" s="114">
        <f>IF($D145="","",$I145-$K145-N($L145))</f>
        <v/>
      </c>
      <c r="N145" s="113">
        <f>IF($D145="","",IFERROR(INDEX(INVENTARIO!$L$7:$L$26,MATCH($D145,INVENTARIO!$B$7:$B$26,0))*1,0))</f>
        <v/>
      </c>
      <c r="O145" s="112">
        <f>IF($D145="","",N($F145)*$N145)</f>
        <v/>
      </c>
      <c r="P145" s="114">
        <f>IF($D145="","",$M145-$O145)</f>
        <v/>
      </c>
      <c r="Q145" s="115">
        <f>IF($D145="","",IF($I145&gt;0,$P145/$I145,""))</f>
        <v/>
      </c>
      <c r="R145" s="127" t="n"/>
    </row>
    <row r="146">
      <c r="B146" s="130" t="n"/>
      <c r="C146" s="100" t="n"/>
      <c r="D146" s="100" t="n"/>
      <c r="E146" s="96">
        <f>IF($D146="","",IFERROR(INDEX(INVENTARIO!$C$7:$C$26,MATCH($D146,INVENTARIO!$B$7:$B$26,0)),"⚠ ID no existe"))</f>
        <v/>
      </c>
      <c r="F146" s="128" t="n"/>
      <c r="G146" s="129" t="n"/>
      <c r="H146" s="112">
        <f>IF($D146="","",IF($G146="",IFERROR(INDEX(INVENTARIO!$N$7:$N$26,MATCH($D146,INVENTARIO!$B$7:$B$26,0)),""),$G146))</f>
        <v/>
      </c>
      <c r="I146" s="114">
        <f>IF($D146="","",N($F146)*IF(ISNUMBER($H146),$H146,0))</f>
        <v/>
      </c>
      <c r="J146" s="115">
        <f>IF($D146="","",IFERROR(IF(INDEX(INVENTARIO!$O$7:$O$26,MATCH($D146,INVENTARIO!$B$7:$B$26,0))="",CFG_WALMART,INDEX(INVENTARIO!$O$7:$O$26,MATCH($D146,INVENTARIO!$B$7:$B$26,0))),CFG_WALMART))</f>
        <v/>
      </c>
      <c r="K146" s="112">
        <f>IF($D146="","",$I146*$J146)</f>
        <v/>
      </c>
      <c r="L146" s="129" t="n"/>
      <c r="M146" s="114">
        <f>IF($D146="","",$I146-$K146-N($L146))</f>
        <v/>
      </c>
      <c r="N146" s="113">
        <f>IF($D146="","",IFERROR(INDEX(INVENTARIO!$L$7:$L$26,MATCH($D146,INVENTARIO!$B$7:$B$26,0))*1,0))</f>
        <v/>
      </c>
      <c r="O146" s="112">
        <f>IF($D146="","",N($F146)*$N146)</f>
        <v/>
      </c>
      <c r="P146" s="114">
        <f>IF($D146="","",$M146-$O146)</f>
        <v/>
      </c>
      <c r="Q146" s="115">
        <f>IF($D146="","",IF($I146&gt;0,$P146/$I146,""))</f>
        <v/>
      </c>
      <c r="R146" s="127" t="n"/>
    </row>
    <row r="147">
      <c r="B147" s="130" t="n"/>
      <c r="C147" s="100" t="n"/>
      <c r="D147" s="100" t="n"/>
      <c r="E147" s="96">
        <f>IF($D147="","",IFERROR(INDEX(INVENTARIO!$C$7:$C$26,MATCH($D147,INVENTARIO!$B$7:$B$26,0)),"⚠ ID no existe"))</f>
        <v/>
      </c>
      <c r="F147" s="128" t="n"/>
      <c r="G147" s="129" t="n"/>
      <c r="H147" s="112">
        <f>IF($D147="","",IF($G147="",IFERROR(INDEX(INVENTARIO!$N$7:$N$26,MATCH($D147,INVENTARIO!$B$7:$B$26,0)),""),$G147))</f>
        <v/>
      </c>
      <c r="I147" s="114">
        <f>IF($D147="","",N($F147)*IF(ISNUMBER($H147),$H147,0))</f>
        <v/>
      </c>
      <c r="J147" s="115">
        <f>IF($D147="","",IFERROR(IF(INDEX(INVENTARIO!$O$7:$O$26,MATCH($D147,INVENTARIO!$B$7:$B$26,0))="",CFG_WALMART,INDEX(INVENTARIO!$O$7:$O$26,MATCH($D147,INVENTARIO!$B$7:$B$26,0))),CFG_WALMART))</f>
        <v/>
      </c>
      <c r="K147" s="112">
        <f>IF($D147="","",$I147*$J147)</f>
        <v/>
      </c>
      <c r="L147" s="129" t="n"/>
      <c r="M147" s="114">
        <f>IF($D147="","",$I147-$K147-N($L147))</f>
        <v/>
      </c>
      <c r="N147" s="113">
        <f>IF($D147="","",IFERROR(INDEX(INVENTARIO!$L$7:$L$26,MATCH($D147,INVENTARIO!$B$7:$B$26,0))*1,0))</f>
        <v/>
      </c>
      <c r="O147" s="112">
        <f>IF($D147="","",N($F147)*$N147)</f>
        <v/>
      </c>
      <c r="P147" s="114">
        <f>IF($D147="","",$M147-$O147)</f>
        <v/>
      </c>
      <c r="Q147" s="115">
        <f>IF($D147="","",IF($I147&gt;0,$P147/$I147,""))</f>
        <v/>
      </c>
      <c r="R147" s="127" t="n"/>
    </row>
    <row r="148">
      <c r="B148" s="130" t="n"/>
      <c r="C148" s="100" t="n"/>
      <c r="D148" s="100" t="n"/>
      <c r="E148" s="96">
        <f>IF($D148="","",IFERROR(INDEX(INVENTARIO!$C$7:$C$26,MATCH($D148,INVENTARIO!$B$7:$B$26,0)),"⚠ ID no existe"))</f>
        <v/>
      </c>
      <c r="F148" s="128" t="n"/>
      <c r="G148" s="129" t="n"/>
      <c r="H148" s="112">
        <f>IF($D148="","",IF($G148="",IFERROR(INDEX(INVENTARIO!$N$7:$N$26,MATCH($D148,INVENTARIO!$B$7:$B$26,0)),""),$G148))</f>
        <v/>
      </c>
      <c r="I148" s="114">
        <f>IF($D148="","",N($F148)*IF(ISNUMBER($H148),$H148,0))</f>
        <v/>
      </c>
      <c r="J148" s="115">
        <f>IF($D148="","",IFERROR(IF(INDEX(INVENTARIO!$O$7:$O$26,MATCH($D148,INVENTARIO!$B$7:$B$26,0))="",CFG_WALMART,INDEX(INVENTARIO!$O$7:$O$26,MATCH($D148,INVENTARIO!$B$7:$B$26,0))),CFG_WALMART))</f>
        <v/>
      </c>
      <c r="K148" s="112">
        <f>IF($D148="","",$I148*$J148)</f>
        <v/>
      </c>
      <c r="L148" s="129" t="n"/>
      <c r="M148" s="114">
        <f>IF($D148="","",$I148-$K148-N($L148))</f>
        <v/>
      </c>
      <c r="N148" s="113">
        <f>IF($D148="","",IFERROR(INDEX(INVENTARIO!$L$7:$L$26,MATCH($D148,INVENTARIO!$B$7:$B$26,0))*1,0))</f>
        <v/>
      </c>
      <c r="O148" s="112">
        <f>IF($D148="","",N($F148)*$N148)</f>
        <v/>
      </c>
      <c r="P148" s="114">
        <f>IF($D148="","",$M148-$O148)</f>
        <v/>
      </c>
      <c r="Q148" s="115">
        <f>IF($D148="","",IF($I148&gt;0,$P148/$I148,""))</f>
        <v/>
      </c>
      <c r="R148" s="127" t="n"/>
    </row>
    <row r="149">
      <c r="B149" s="130" t="n"/>
      <c r="C149" s="100" t="n"/>
      <c r="D149" s="100" t="n"/>
      <c r="E149" s="96">
        <f>IF($D149="","",IFERROR(INDEX(INVENTARIO!$C$7:$C$26,MATCH($D149,INVENTARIO!$B$7:$B$26,0)),"⚠ ID no existe"))</f>
        <v/>
      </c>
      <c r="F149" s="128" t="n"/>
      <c r="G149" s="129" t="n"/>
      <c r="H149" s="112">
        <f>IF($D149="","",IF($G149="",IFERROR(INDEX(INVENTARIO!$N$7:$N$26,MATCH($D149,INVENTARIO!$B$7:$B$26,0)),""),$G149))</f>
        <v/>
      </c>
      <c r="I149" s="114">
        <f>IF($D149="","",N($F149)*IF(ISNUMBER($H149),$H149,0))</f>
        <v/>
      </c>
      <c r="J149" s="115">
        <f>IF($D149="","",IFERROR(IF(INDEX(INVENTARIO!$O$7:$O$26,MATCH($D149,INVENTARIO!$B$7:$B$26,0))="",CFG_WALMART,INDEX(INVENTARIO!$O$7:$O$26,MATCH($D149,INVENTARIO!$B$7:$B$26,0))),CFG_WALMART))</f>
        <v/>
      </c>
      <c r="K149" s="112">
        <f>IF($D149="","",$I149*$J149)</f>
        <v/>
      </c>
      <c r="L149" s="129" t="n"/>
      <c r="M149" s="114">
        <f>IF($D149="","",$I149-$K149-N($L149))</f>
        <v/>
      </c>
      <c r="N149" s="113">
        <f>IF($D149="","",IFERROR(INDEX(INVENTARIO!$L$7:$L$26,MATCH($D149,INVENTARIO!$B$7:$B$26,0))*1,0))</f>
        <v/>
      </c>
      <c r="O149" s="112">
        <f>IF($D149="","",N($F149)*$N149)</f>
        <v/>
      </c>
      <c r="P149" s="114">
        <f>IF($D149="","",$M149-$O149)</f>
        <v/>
      </c>
      <c r="Q149" s="115">
        <f>IF($D149="","",IF($I149&gt;0,$P149/$I149,""))</f>
        <v/>
      </c>
      <c r="R149" s="127" t="n"/>
    </row>
    <row r="150">
      <c r="B150" s="130" t="n"/>
      <c r="C150" s="100" t="n"/>
      <c r="D150" s="100" t="n"/>
      <c r="E150" s="96">
        <f>IF($D150="","",IFERROR(INDEX(INVENTARIO!$C$7:$C$26,MATCH($D150,INVENTARIO!$B$7:$B$26,0)),"⚠ ID no existe"))</f>
        <v/>
      </c>
      <c r="F150" s="128" t="n"/>
      <c r="G150" s="129" t="n"/>
      <c r="H150" s="112">
        <f>IF($D150="","",IF($G150="",IFERROR(INDEX(INVENTARIO!$N$7:$N$26,MATCH($D150,INVENTARIO!$B$7:$B$26,0)),""),$G150))</f>
        <v/>
      </c>
      <c r="I150" s="114">
        <f>IF($D150="","",N($F150)*IF(ISNUMBER($H150),$H150,0))</f>
        <v/>
      </c>
      <c r="J150" s="115">
        <f>IF($D150="","",IFERROR(IF(INDEX(INVENTARIO!$O$7:$O$26,MATCH($D150,INVENTARIO!$B$7:$B$26,0))="",CFG_WALMART,INDEX(INVENTARIO!$O$7:$O$26,MATCH($D150,INVENTARIO!$B$7:$B$26,0))),CFG_WALMART))</f>
        <v/>
      </c>
      <c r="K150" s="112">
        <f>IF($D150="","",$I150*$J150)</f>
        <v/>
      </c>
      <c r="L150" s="129" t="n"/>
      <c r="M150" s="114">
        <f>IF($D150="","",$I150-$K150-N($L150))</f>
        <v/>
      </c>
      <c r="N150" s="113">
        <f>IF($D150="","",IFERROR(INDEX(INVENTARIO!$L$7:$L$26,MATCH($D150,INVENTARIO!$B$7:$B$26,0))*1,0))</f>
        <v/>
      </c>
      <c r="O150" s="112">
        <f>IF($D150="","",N($F150)*$N150)</f>
        <v/>
      </c>
      <c r="P150" s="114">
        <f>IF($D150="","",$M150-$O150)</f>
        <v/>
      </c>
      <c r="Q150" s="115">
        <f>IF($D150="","",IF($I150&gt;0,$P150/$I150,""))</f>
        <v/>
      </c>
      <c r="R150" s="127" t="n"/>
    </row>
    <row r="151">
      <c r="B151" s="130" t="n"/>
      <c r="C151" s="100" t="n"/>
      <c r="D151" s="100" t="n"/>
      <c r="E151" s="96">
        <f>IF($D151="","",IFERROR(INDEX(INVENTARIO!$C$7:$C$26,MATCH($D151,INVENTARIO!$B$7:$B$26,0)),"⚠ ID no existe"))</f>
        <v/>
      </c>
      <c r="F151" s="128" t="n"/>
      <c r="G151" s="129" t="n"/>
      <c r="H151" s="112">
        <f>IF($D151="","",IF($G151="",IFERROR(INDEX(INVENTARIO!$N$7:$N$26,MATCH($D151,INVENTARIO!$B$7:$B$26,0)),""),$G151))</f>
        <v/>
      </c>
      <c r="I151" s="114">
        <f>IF($D151="","",N($F151)*IF(ISNUMBER($H151),$H151,0))</f>
        <v/>
      </c>
      <c r="J151" s="115">
        <f>IF($D151="","",IFERROR(IF(INDEX(INVENTARIO!$O$7:$O$26,MATCH($D151,INVENTARIO!$B$7:$B$26,0))="",CFG_WALMART,INDEX(INVENTARIO!$O$7:$O$26,MATCH($D151,INVENTARIO!$B$7:$B$26,0))),CFG_WALMART))</f>
        <v/>
      </c>
      <c r="K151" s="112">
        <f>IF($D151="","",$I151*$J151)</f>
        <v/>
      </c>
      <c r="L151" s="129" t="n"/>
      <c r="M151" s="114">
        <f>IF($D151="","",$I151-$K151-N($L151))</f>
        <v/>
      </c>
      <c r="N151" s="113">
        <f>IF($D151="","",IFERROR(INDEX(INVENTARIO!$L$7:$L$26,MATCH($D151,INVENTARIO!$B$7:$B$26,0))*1,0))</f>
        <v/>
      </c>
      <c r="O151" s="112">
        <f>IF($D151="","",N($F151)*$N151)</f>
        <v/>
      </c>
      <c r="P151" s="114">
        <f>IF($D151="","",$M151-$O151)</f>
        <v/>
      </c>
      <c r="Q151" s="115">
        <f>IF($D151="","",IF($I151&gt;0,$P151/$I151,""))</f>
        <v/>
      </c>
      <c r="R151" s="127" t="n"/>
    </row>
    <row r="152">
      <c r="B152" s="130" t="n"/>
      <c r="C152" s="100" t="n"/>
      <c r="D152" s="100" t="n"/>
      <c r="E152" s="96">
        <f>IF($D152="","",IFERROR(INDEX(INVENTARIO!$C$7:$C$26,MATCH($D152,INVENTARIO!$B$7:$B$26,0)),"⚠ ID no existe"))</f>
        <v/>
      </c>
      <c r="F152" s="128" t="n"/>
      <c r="G152" s="129" t="n"/>
      <c r="H152" s="112">
        <f>IF($D152="","",IF($G152="",IFERROR(INDEX(INVENTARIO!$N$7:$N$26,MATCH($D152,INVENTARIO!$B$7:$B$26,0)),""),$G152))</f>
        <v/>
      </c>
      <c r="I152" s="114">
        <f>IF($D152="","",N($F152)*IF(ISNUMBER($H152),$H152,0))</f>
        <v/>
      </c>
      <c r="J152" s="115">
        <f>IF($D152="","",IFERROR(IF(INDEX(INVENTARIO!$O$7:$O$26,MATCH($D152,INVENTARIO!$B$7:$B$26,0))="",CFG_WALMART,INDEX(INVENTARIO!$O$7:$O$26,MATCH($D152,INVENTARIO!$B$7:$B$26,0))),CFG_WALMART))</f>
        <v/>
      </c>
      <c r="K152" s="112">
        <f>IF($D152="","",$I152*$J152)</f>
        <v/>
      </c>
      <c r="L152" s="129" t="n"/>
      <c r="M152" s="114">
        <f>IF($D152="","",$I152-$K152-N($L152))</f>
        <v/>
      </c>
      <c r="N152" s="113">
        <f>IF($D152="","",IFERROR(INDEX(INVENTARIO!$L$7:$L$26,MATCH($D152,INVENTARIO!$B$7:$B$26,0))*1,0))</f>
        <v/>
      </c>
      <c r="O152" s="112">
        <f>IF($D152="","",N($F152)*$N152)</f>
        <v/>
      </c>
      <c r="P152" s="114">
        <f>IF($D152="","",$M152-$O152)</f>
        <v/>
      </c>
      <c r="Q152" s="115">
        <f>IF($D152="","",IF($I152&gt;0,$P152/$I152,""))</f>
        <v/>
      </c>
      <c r="R152" s="127" t="n"/>
    </row>
    <row r="153">
      <c r="B153" s="130" t="n"/>
      <c r="C153" s="100" t="n"/>
      <c r="D153" s="100" t="n"/>
      <c r="E153" s="96">
        <f>IF($D153="","",IFERROR(INDEX(INVENTARIO!$C$7:$C$26,MATCH($D153,INVENTARIO!$B$7:$B$26,0)),"⚠ ID no existe"))</f>
        <v/>
      </c>
      <c r="F153" s="128" t="n"/>
      <c r="G153" s="129" t="n"/>
      <c r="H153" s="112">
        <f>IF($D153="","",IF($G153="",IFERROR(INDEX(INVENTARIO!$N$7:$N$26,MATCH($D153,INVENTARIO!$B$7:$B$26,0)),""),$G153))</f>
        <v/>
      </c>
      <c r="I153" s="114">
        <f>IF($D153="","",N($F153)*IF(ISNUMBER($H153),$H153,0))</f>
        <v/>
      </c>
      <c r="J153" s="115">
        <f>IF($D153="","",IFERROR(IF(INDEX(INVENTARIO!$O$7:$O$26,MATCH($D153,INVENTARIO!$B$7:$B$26,0))="",CFG_WALMART,INDEX(INVENTARIO!$O$7:$O$26,MATCH($D153,INVENTARIO!$B$7:$B$26,0))),CFG_WALMART))</f>
        <v/>
      </c>
      <c r="K153" s="112">
        <f>IF($D153="","",$I153*$J153)</f>
        <v/>
      </c>
      <c r="L153" s="129" t="n"/>
      <c r="M153" s="114">
        <f>IF($D153="","",$I153-$K153-N($L153))</f>
        <v/>
      </c>
      <c r="N153" s="113">
        <f>IF($D153="","",IFERROR(INDEX(INVENTARIO!$L$7:$L$26,MATCH($D153,INVENTARIO!$B$7:$B$26,0))*1,0))</f>
        <v/>
      </c>
      <c r="O153" s="112">
        <f>IF($D153="","",N($F153)*$N153)</f>
        <v/>
      </c>
      <c r="P153" s="114">
        <f>IF($D153="","",$M153-$O153)</f>
        <v/>
      </c>
      <c r="Q153" s="115">
        <f>IF($D153="","",IF($I153&gt;0,$P153/$I153,""))</f>
        <v/>
      </c>
      <c r="R153" s="127" t="n"/>
    </row>
    <row r="154">
      <c r="B154" s="130" t="n"/>
      <c r="C154" s="100" t="n"/>
      <c r="D154" s="100" t="n"/>
      <c r="E154" s="96">
        <f>IF($D154="","",IFERROR(INDEX(INVENTARIO!$C$7:$C$26,MATCH($D154,INVENTARIO!$B$7:$B$26,0)),"⚠ ID no existe"))</f>
        <v/>
      </c>
      <c r="F154" s="128" t="n"/>
      <c r="G154" s="129" t="n"/>
      <c r="H154" s="112">
        <f>IF($D154="","",IF($G154="",IFERROR(INDEX(INVENTARIO!$N$7:$N$26,MATCH($D154,INVENTARIO!$B$7:$B$26,0)),""),$G154))</f>
        <v/>
      </c>
      <c r="I154" s="114">
        <f>IF($D154="","",N($F154)*IF(ISNUMBER($H154),$H154,0))</f>
        <v/>
      </c>
      <c r="J154" s="115">
        <f>IF($D154="","",IFERROR(IF(INDEX(INVENTARIO!$O$7:$O$26,MATCH($D154,INVENTARIO!$B$7:$B$26,0))="",CFG_WALMART,INDEX(INVENTARIO!$O$7:$O$26,MATCH($D154,INVENTARIO!$B$7:$B$26,0))),CFG_WALMART))</f>
        <v/>
      </c>
      <c r="K154" s="112">
        <f>IF($D154="","",$I154*$J154)</f>
        <v/>
      </c>
      <c r="L154" s="129" t="n"/>
      <c r="M154" s="114">
        <f>IF($D154="","",$I154-$K154-N($L154))</f>
        <v/>
      </c>
      <c r="N154" s="113">
        <f>IF($D154="","",IFERROR(INDEX(INVENTARIO!$L$7:$L$26,MATCH($D154,INVENTARIO!$B$7:$B$26,0))*1,0))</f>
        <v/>
      </c>
      <c r="O154" s="112">
        <f>IF($D154="","",N($F154)*$N154)</f>
        <v/>
      </c>
      <c r="P154" s="114">
        <f>IF($D154="","",$M154-$O154)</f>
        <v/>
      </c>
      <c r="Q154" s="115">
        <f>IF($D154="","",IF($I154&gt;0,$P154/$I154,""))</f>
        <v/>
      </c>
      <c r="R154" s="127" t="n"/>
    </row>
    <row r="155">
      <c r="B155" s="130" t="n"/>
      <c r="C155" s="100" t="n"/>
      <c r="D155" s="100" t="n"/>
      <c r="E155" s="96">
        <f>IF($D155="","",IFERROR(INDEX(INVENTARIO!$C$7:$C$26,MATCH($D155,INVENTARIO!$B$7:$B$26,0)),"⚠ ID no existe"))</f>
        <v/>
      </c>
      <c r="F155" s="128" t="n"/>
      <c r="G155" s="129" t="n"/>
      <c r="H155" s="112">
        <f>IF($D155="","",IF($G155="",IFERROR(INDEX(INVENTARIO!$N$7:$N$26,MATCH($D155,INVENTARIO!$B$7:$B$26,0)),""),$G155))</f>
        <v/>
      </c>
      <c r="I155" s="114">
        <f>IF($D155="","",N($F155)*IF(ISNUMBER($H155),$H155,0))</f>
        <v/>
      </c>
      <c r="J155" s="115">
        <f>IF($D155="","",IFERROR(IF(INDEX(INVENTARIO!$O$7:$O$26,MATCH($D155,INVENTARIO!$B$7:$B$26,0))="",CFG_WALMART,INDEX(INVENTARIO!$O$7:$O$26,MATCH($D155,INVENTARIO!$B$7:$B$26,0))),CFG_WALMART))</f>
        <v/>
      </c>
      <c r="K155" s="112">
        <f>IF($D155="","",$I155*$J155)</f>
        <v/>
      </c>
      <c r="L155" s="129" t="n"/>
      <c r="M155" s="114">
        <f>IF($D155="","",$I155-$K155-N($L155))</f>
        <v/>
      </c>
      <c r="N155" s="113">
        <f>IF($D155="","",IFERROR(INDEX(INVENTARIO!$L$7:$L$26,MATCH($D155,INVENTARIO!$B$7:$B$26,0))*1,0))</f>
        <v/>
      </c>
      <c r="O155" s="112">
        <f>IF($D155="","",N($F155)*$N155)</f>
        <v/>
      </c>
      <c r="P155" s="114">
        <f>IF($D155="","",$M155-$O155)</f>
        <v/>
      </c>
      <c r="Q155" s="115">
        <f>IF($D155="","",IF($I155&gt;0,$P155/$I155,""))</f>
        <v/>
      </c>
      <c r="R155" s="127" t="n"/>
    </row>
    <row r="156">
      <c r="B156" s="130" t="n"/>
      <c r="C156" s="100" t="n"/>
      <c r="D156" s="100" t="n"/>
      <c r="E156" s="96">
        <f>IF($D156="","",IFERROR(INDEX(INVENTARIO!$C$7:$C$26,MATCH($D156,INVENTARIO!$B$7:$B$26,0)),"⚠ ID no existe"))</f>
        <v/>
      </c>
      <c r="F156" s="128" t="n"/>
      <c r="G156" s="129" t="n"/>
      <c r="H156" s="112">
        <f>IF($D156="","",IF($G156="",IFERROR(INDEX(INVENTARIO!$N$7:$N$26,MATCH($D156,INVENTARIO!$B$7:$B$26,0)),""),$G156))</f>
        <v/>
      </c>
      <c r="I156" s="114">
        <f>IF($D156="","",N($F156)*IF(ISNUMBER($H156),$H156,0))</f>
        <v/>
      </c>
      <c r="J156" s="115">
        <f>IF($D156="","",IFERROR(IF(INDEX(INVENTARIO!$O$7:$O$26,MATCH($D156,INVENTARIO!$B$7:$B$26,0))="",CFG_WALMART,INDEX(INVENTARIO!$O$7:$O$26,MATCH($D156,INVENTARIO!$B$7:$B$26,0))),CFG_WALMART))</f>
        <v/>
      </c>
      <c r="K156" s="112">
        <f>IF($D156="","",$I156*$J156)</f>
        <v/>
      </c>
      <c r="L156" s="129" t="n"/>
      <c r="M156" s="114">
        <f>IF($D156="","",$I156-$K156-N($L156))</f>
        <v/>
      </c>
      <c r="N156" s="113">
        <f>IF($D156="","",IFERROR(INDEX(INVENTARIO!$L$7:$L$26,MATCH($D156,INVENTARIO!$B$7:$B$26,0))*1,0))</f>
        <v/>
      </c>
      <c r="O156" s="112">
        <f>IF($D156="","",N($F156)*$N156)</f>
        <v/>
      </c>
      <c r="P156" s="114">
        <f>IF($D156="","",$M156-$O156)</f>
        <v/>
      </c>
      <c r="Q156" s="115">
        <f>IF($D156="","",IF($I156&gt;0,$P156/$I156,""))</f>
        <v/>
      </c>
      <c r="R156" s="127" t="n"/>
    </row>
    <row r="157">
      <c r="B157" s="130" t="n"/>
      <c r="C157" s="100" t="n"/>
      <c r="D157" s="100" t="n"/>
      <c r="E157" s="96">
        <f>IF($D157="","",IFERROR(INDEX(INVENTARIO!$C$7:$C$26,MATCH($D157,INVENTARIO!$B$7:$B$26,0)),"⚠ ID no existe"))</f>
        <v/>
      </c>
      <c r="F157" s="128" t="n"/>
      <c r="G157" s="129" t="n"/>
      <c r="H157" s="112">
        <f>IF($D157="","",IF($G157="",IFERROR(INDEX(INVENTARIO!$N$7:$N$26,MATCH($D157,INVENTARIO!$B$7:$B$26,0)),""),$G157))</f>
        <v/>
      </c>
      <c r="I157" s="114">
        <f>IF($D157="","",N($F157)*IF(ISNUMBER($H157),$H157,0))</f>
        <v/>
      </c>
      <c r="J157" s="115">
        <f>IF($D157="","",IFERROR(IF(INDEX(INVENTARIO!$O$7:$O$26,MATCH($D157,INVENTARIO!$B$7:$B$26,0))="",CFG_WALMART,INDEX(INVENTARIO!$O$7:$O$26,MATCH($D157,INVENTARIO!$B$7:$B$26,0))),CFG_WALMART))</f>
        <v/>
      </c>
      <c r="K157" s="112">
        <f>IF($D157="","",$I157*$J157)</f>
        <v/>
      </c>
      <c r="L157" s="129" t="n"/>
      <c r="M157" s="114">
        <f>IF($D157="","",$I157-$K157-N($L157))</f>
        <v/>
      </c>
      <c r="N157" s="113">
        <f>IF($D157="","",IFERROR(INDEX(INVENTARIO!$L$7:$L$26,MATCH($D157,INVENTARIO!$B$7:$B$26,0))*1,0))</f>
        <v/>
      </c>
      <c r="O157" s="112">
        <f>IF($D157="","",N($F157)*$N157)</f>
        <v/>
      </c>
      <c r="P157" s="114">
        <f>IF($D157="","",$M157-$O157)</f>
        <v/>
      </c>
      <c r="Q157" s="115">
        <f>IF($D157="","",IF($I157&gt;0,$P157/$I157,""))</f>
        <v/>
      </c>
      <c r="R157" s="127" t="n"/>
    </row>
    <row r="158">
      <c r="B158" s="130" t="n"/>
      <c r="C158" s="100" t="n"/>
      <c r="D158" s="100" t="n"/>
      <c r="E158" s="96">
        <f>IF($D158="","",IFERROR(INDEX(INVENTARIO!$C$7:$C$26,MATCH($D158,INVENTARIO!$B$7:$B$26,0)),"⚠ ID no existe"))</f>
        <v/>
      </c>
      <c r="F158" s="128" t="n"/>
      <c r="G158" s="129" t="n"/>
      <c r="H158" s="112">
        <f>IF($D158="","",IF($G158="",IFERROR(INDEX(INVENTARIO!$N$7:$N$26,MATCH($D158,INVENTARIO!$B$7:$B$26,0)),""),$G158))</f>
        <v/>
      </c>
      <c r="I158" s="114">
        <f>IF($D158="","",N($F158)*IF(ISNUMBER($H158),$H158,0))</f>
        <v/>
      </c>
      <c r="J158" s="115">
        <f>IF($D158="","",IFERROR(IF(INDEX(INVENTARIO!$O$7:$O$26,MATCH($D158,INVENTARIO!$B$7:$B$26,0))="",CFG_WALMART,INDEX(INVENTARIO!$O$7:$O$26,MATCH($D158,INVENTARIO!$B$7:$B$26,0))),CFG_WALMART))</f>
        <v/>
      </c>
      <c r="K158" s="112">
        <f>IF($D158="","",$I158*$J158)</f>
        <v/>
      </c>
      <c r="L158" s="129" t="n"/>
      <c r="M158" s="114">
        <f>IF($D158="","",$I158-$K158-N($L158))</f>
        <v/>
      </c>
      <c r="N158" s="113">
        <f>IF($D158="","",IFERROR(INDEX(INVENTARIO!$L$7:$L$26,MATCH($D158,INVENTARIO!$B$7:$B$26,0))*1,0))</f>
        <v/>
      </c>
      <c r="O158" s="112">
        <f>IF($D158="","",N($F158)*$N158)</f>
        <v/>
      </c>
      <c r="P158" s="114">
        <f>IF($D158="","",$M158-$O158)</f>
        <v/>
      </c>
      <c r="Q158" s="115">
        <f>IF($D158="","",IF($I158&gt;0,$P158/$I158,""))</f>
        <v/>
      </c>
      <c r="R158" s="127" t="n"/>
    </row>
    <row r="159">
      <c r="B159" s="130" t="n"/>
      <c r="C159" s="100" t="n"/>
      <c r="D159" s="100" t="n"/>
      <c r="E159" s="96">
        <f>IF($D159="","",IFERROR(INDEX(INVENTARIO!$C$7:$C$26,MATCH($D159,INVENTARIO!$B$7:$B$26,0)),"⚠ ID no existe"))</f>
        <v/>
      </c>
      <c r="F159" s="128" t="n"/>
      <c r="G159" s="129" t="n"/>
      <c r="H159" s="112">
        <f>IF($D159="","",IF($G159="",IFERROR(INDEX(INVENTARIO!$N$7:$N$26,MATCH($D159,INVENTARIO!$B$7:$B$26,0)),""),$G159))</f>
        <v/>
      </c>
      <c r="I159" s="114">
        <f>IF($D159="","",N($F159)*IF(ISNUMBER($H159),$H159,0))</f>
        <v/>
      </c>
      <c r="J159" s="115">
        <f>IF($D159="","",IFERROR(IF(INDEX(INVENTARIO!$O$7:$O$26,MATCH($D159,INVENTARIO!$B$7:$B$26,0))="",CFG_WALMART,INDEX(INVENTARIO!$O$7:$O$26,MATCH($D159,INVENTARIO!$B$7:$B$26,0))),CFG_WALMART))</f>
        <v/>
      </c>
      <c r="K159" s="112">
        <f>IF($D159="","",$I159*$J159)</f>
        <v/>
      </c>
      <c r="L159" s="129" t="n"/>
      <c r="M159" s="114">
        <f>IF($D159="","",$I159-$K159-N($L159))</f>
        <v/>
      </c>
      <c r="N159" s="113">
        <f>IF($D159="","",IFERROR(INDEX(INVENTARIO!$L$7:$L$26,MATCH($D159,INVENTARIO!$B$7:$B$26,0))*1,0))</f>
        <v/>
      </c>
      <c r="O159" s="112">
        <f>IF($D159="","",N($F159)*$N159)</f>
        <v/>
      </c>
      <c r="P159" s="114">
        <f>IF($D159="","",$M159-$O159)</f>
        <v/>
      </c>
      <c r="Q159" s="115">
        <f>IF($D159="","",IF($I159&gt;0,$P159/$I159,""))</f>
        <v/>
      </c>
      <c r="R159" s="127" t="n"/>
    </row>
    <row r="160">
      <c r="B160" s="130" t="n"/>
      <c r="C160" s="100" t="n"/>
      <c r="D160" s="100" t="n"/>
      <c r="E160" s="96">
        <f>IF($D160="","",IFERROR(INDEX(INVENTARIO!$C$7:$C$26,MATCH($D160,INVENTARIO!$B$7:$B$26,0)),"⚠ ID no existe"))</f>
        <v/>
      </c>
      <c r="F160" s="128" t="n"/>
      <c r="G160" s="129" t="n"/>
      <c r="H160" s="112">
        <f>IF($D160="","",IF($G160="",IFERROR(INDEX(INVENTARIO!$N$7:$N$26,MATCH($D160,INVENTARIO!$B$7:$B$26,0)),""),$G160))</f>
        <v/>
      </c>
      <c r="I160" s="114">
        <f>IF($D160="","",N($F160)*IF(ISNUMBER($H160),$H160,0))</f>
        <v/>
      </c>
      <c r="J160" s="115">
        <f>IF($D160="","",IFERROR(IF(INDEX(INVENTARIO!$O$7:$O$26,MATCH($D160,INVENTARIO!$B$7:$B$26,0))="",CFG_WALMART,INDEX(INVENTARIO!$O$7:$O$26,MATCH($D160,INVENTARIO!$B$7:$B$26,0))),CFG_WALMART))</f>
        <v/>
      </c>
      <c r="K160" s="112">
        <f>IF($D160="","",$I160*$J160)</f>
        <v/>
      </c>
      <c r="L160" s="129" t="n"/>
      <c r="M160" s="114">
        <f>IF($D160="","",$I160-$K160-N($L160))</f>
        <v/>
      </c>
      <c r="N160" s="113">
        <f>IF($D160="","",IFERROR(INDEX(INVENTARIO!$L$7:$L$26,MATCH($D160,INVENTARIO!$B$7:$B$26,0))*1,0))</f>
        <v/>
      </c>
      <c r="O160" s="112">
        <f>IF($D160="","",N($F160)*$N160)</f>
        <v/>
      </c>
      <c r="P160" s="114">
        <f>IF($D160="","",$M160-$O160)</f>
        <v/>
      </c>
      <c r="Q160" s="115">
        <f>IF($D160="","",IF($I160&gt;0,$P160/$I160,""))</f>
        <v/>
      </c>
      <c r="R160" s="127" t="n"/>
    </row>
    <row r="161">
      <c r="B161" s="130" t="n"/>
      <c r="C161" s="100" t="n"/>
      <c r="D161" s="100" t="n"/>
      <c r="E161" s="96">
        <f>IF($D161="","",IFERROR(INDEX(INVENTARIO!$C$7:$C$26,MATCH($D161,INVENTARIO!$B$7:$B$26,0)),"⚠ ID no existe"))</f>
        <v/>
      </c>
      <c r="F161" s="128" t="n"/>
      <c r="G161" s="129" t="n"/>
      <c r="H161" s="112">
        <f>IF($D161="","",IF($G161="",IFERROR(INDEX(INVENTARIO!$N$7:$N$26,MATCH($D161,INVENTARIO!$B$7:$B$26,0)),""),$G161))</f>
        <v/>
      </c>
      <c r="I161" s="114">
        <f>IF($D161="","",N($F161)*IF(ISNUMBER($H161),$H161,0))</f>
        <v/>
      </c>
      <c r="J161" s="115">
        <f>IF($D161="","",IFERROR(IF(INDEX(INVENTARIO!$O$7:$O$26,MATCH($D161,INVENTARIO!$B$7:$B$26,0))="",CFG_WALMART,INDEX(INVENTARIO!$O$7:$O$26,MATCH($D161,INVENTARIO!$B$7:$B$26,0))),CFG_WALMART))</f>
        <v/>
      </c>
      <c r="K161" s="112">
        <f>IF($D161="","",$I161*$J161)</f>
        <v/>
      </c>
      <c r="L161" s="129" t="n"/>
      <c r="M161" s="114">
        <f>IF($D161="","",$I161-$K161-N($L161))</f>
        <v/>
      </c>
      <c r="N161" s="113">
        <f>IF($D161="","",IFERROR(INDEX(INVENTARIO!$L$7:$L$26,MATCH($D161,INVENTARIO!$B$7:$B$26,0))*1,0))</f>
        <v/>
      </c>
      <c r="O161" s="112">
        <f>IF($D161="","",N($F161)*$N161)</f>
        <v/>
      </c>
      <c r="P161" s="114">
        <f>IF($D161="","",$M161-$O161)</f>
        <v/>
      </c>
      <c r="Q161" s="115">
        <f>IF($D161="","",IF($I161&gt;0,$P161/$I161,""))</f>
        <v/>
      </c>
      <c r="R161" s="127" t="n"/>
    </row>
    <row r="162">
      <c r="B162" s="130" t="n"/>
      <c r="C162" s="100" t="n"/>
      <c r="D162" s="100" t="n"/>
      <c r="E162" s="96">
        <f>IF($D162="","",IFERROR(INDEX(INVENTARIO!$C$7:$C$26,MATCH($D162,INVENTARIO!$B$7:$B$26,0)),"⚠ ID no existe"))</f>
        <v/>
      </c>
      <c r="F162" s="128" t="n"/>
      <c r="G162" s="129" t="n"/>
      <c r="H162" s="112">
        <f>IF($D162="","",IF($G162="",IFERROR(INDEX(INVENTARIO!$N$7:$N$26,MATCH($D162,INVENTARIO!$B$7:$B$26,0)),""),$G162))</f>
        <v/>
      </c>
      <c r="I162" s="114">
        <f>IF($D162="","",N($F162)*IF(ISNUMBER($H162),$H162,0))</f>
        <v/>
      </c>
      <c r="J162" s="115">
        <f>IF($D162="","",IFERROR(IF(INDEX(INVENTARIO!$O$7:$O$26,MATCH($D162,INVENTARIO!$B$7:$B$26,0))="",CFG_WALMART,INDEX(INVENTARIO!$O$7:$O$26,MATCH($D162,INVENTARIO!$B$7:$B$26,0))),CFG_WALMART))</f>
        <v/>
      </c>
      <c r="K162" s="112">
        <f>IF($D162="","",$I162*$J162)</f>
        <v/>
      </c>
      <c r="L162" s="129" t="n"/>
      <c r="M162" s="114">
        <f>IF($D162="","",$I162-$K162-N($L162))</f>
        <v/>
      </c>
      <c r="N162" s="113">
        <f>IF($D162="","",IFERROR(INDEX(INVENTARIO!$L$7:$L$26,MATCH($D162,INVENTARIO!$B$7:$B$26,0))*1,0))</f>
        <v/>
      </c>
      <c r="O162" s="112">
        <f>IF($D162="","",N($F162)*$N162)</f>
        <v/>
      </c>
      <c r="P162" s="114">
        <f>IF($D162="","",$M162-$O162)</f>
        <v/>
      </c>
      <c r="Q162" s="115">
        <f>IF($D162="","",IF($I162&gt;0,$P162/$I162,""))</f>
        <v/>
      </c>
      <c r="R162" s="127" t="n"/>
    </row>
    <row r="163">
      <c r="B163" s="130" t="n"/>
      <c r="C163" s="100" t="n"/>
      <c r="D163" s="100" t="n"/>
      <c r="E163" s="96">
        <f>IF($D163="","",IFERROR(INDEX(INVENTARIO!$C$7:$C$26,MATCH($D163,INVENTARIO!$B$7:$B$26,0)),"⚠ ID no existe"))</f>
        <v/>
      </c>
      <c r="F163" s="128" t="n"/>
      <c r="G163" s="129" t="n"/>
      <c r="H163" s="112">
        <f>IF($D163="","",IF($G163="",IFERROR(INDEX(INVENTARIO!$N$7:$N$26,MATCH($D163,INVENTARIO!$B$7:$B$26,0)),""),$G163))</f>
        <v/>
      </c>
      <c r="I163" s="114">
        <f>IF($D163="","",N($F163)*IF(ISNUMBER($H163),$H163,0))</f>
        <v/>
      </c>
      <c r="J163" s="115">
        <f>IF($D163="","",IFERROR(IF(INDEX(INVENTARIO!$O$7:$O$26,MATCH($D163,INVENTARIO!$B$7:$B$26,0))="",CFG_WALMART,INDEX(INVENTARIO!$O$7:$O$26,MATCH($D163,INVENTARIO!$B$7:$B$26,0))),CFG_WALMART))</f>
        <v/>
      </c>
      <c r="K163" s="112">
        <f>IF($D163="","",$I163*$J163)</f>
        <v/>
      </c>
      <c r="L163" s="129" t="n"/>
      <c r="M163" s="114">
        <f>IF($D163="","",$I163-$K163-N($L163))</f>
        <v/>
      </c>
      <c r="N163" s="113">
        <f>IF($D163="","",IFERROR(INDEX(INVENTARIO!$L$7:$L$26,MATCH($D163,INVENTARIO!$B$7:$B$26,0))*1,0))</f>
        <v/>
      </c>
      <c r="O163" s="112">
        <f>IF($D163="","",N($F163)*$N163)</f>
        <v/>
      </c>
      <c r="P163" s="114">
        <f>IF($D163="","",$M163-$O163)</f>
        <v/>
      </c>
      <c r="Q163" s="115">
        <f>IF($D163="","",IF($I163&gt;0,$P163/$I163,""))</f>
        <v/>
      </c>
      <c r="R163" s="127" t="n"/>
    </row>
    <row r="164">
      <c r="B164" s="130" t="n"/>
      <c r="C164" s="100" t="n"/>
      <c r="D164" s="100" t="n"/>
      <c r="E164" s="96">
        <f>IF($D164="","",IFERROR(INDEX(INVENTARIO!$C$7:$C$26,MATCH($D164,INVENTARIO!$B$7:$B$26,0)),"⚠ ID no existe"))</f>
        <v/>
      </c>
      <c r="F164" s="128" t="n"/>
      <c r="G164" s="129" t="n"/>
      <c r="H164" s="112">
        <f>IF($D164="","",IF($G164="",IFERROR(INDEX(INVENTARIO!$N$7:$N$26,MATCH($D164,INVENTARIO!$B$7:$B$26,0)),""),$G164))</f>
        <v/>
      </c>
      <c r="I164" s="114">
        <f>IF($D164="","",N($F164)*IF(ISNUMBER($H164),$H164,0))</f>
        <v/>
      </c>
      <c r="J164" s="115">
        <f>IF($D164="","",IFERROR(IF(INDEX(INVENTARIO!$O$7:$O$26,MATCH($D164,INVENTARIO!$B$7:$B$26,0))="",CFG_WALMART,INDEX(INVENTARIO!$O$7:$O$26,MATCH($D164,INVENTARIO!$B$7:$B$26,0))),CFG_WALMART))</f>
        <v/>
      </c>
      <c r="K164" s="112">
        <f>IF($D164="","",$I164*$J164)</f>
        <v/>
      </c>
      <c r="L164" s="129" t="n"/>
      <c r="M164" s="114">
        <f>IF($D164="","",$I164-$K164-N($L164))</f>
        <v/>
      </c>
      <c r="N164" s="113">
        <f>IF($D164="","",IFERROR(INDEX(INVENTARIO!$L$7:$L$26,MATCH($D164,INVENTARIO!$B$7:$B$26,0))*1,0))</f>
        <v/>
      </c>
      <c r="O164" s="112">
        <f>IF($D164="","",N($F164)*$N164)</f>
        <v/>
      </c>
      <c r="P164" s="114">
        <f>IF($D164="","",$M164-$O164)</f>
        <v/>
      </c>
      <c r="Q164" s="115">
        <f>IF($D164="","",IF($I164&gt;0,$P164/$I164,""))</f>
        <v/>
      </c>
      <c r="R164" s="127" t="n"/>
    </row>
    <row r="165">
      <c r="B165" s="130" t="n"/>
      <c r="C165" s="100" t="n"/>
      <c r="D165" s="100" t="n"/>
      <c r="E165" s="96">
        <f>IF($D165="","",IFERROR(INDEX(INVENTARIO!$C$7:$C$26,MATCH($D165,INVENTARIO!$B$7:$B$26,0)),"⚠ ID no existe"))</f>
        <v/>
      </c>
      <c r="F165" s="128" t="n"/>
      <c r="G165" s="129" t="n"/>
      <c r="H165" s="112">
        <f>IF($D165="","",IF($G165="",IFERROR(INDEX(INVENTARIO!$N$7:$N$26,MATCH($D165,INVENTARIO!$B$7:$B$26,0)),""),$G165))</f>
        <v/>
      </c>
      <c r="I165" s="114">
        <f>IF($D165="","",N($F165)*IF(ISNUMBER($H165),$H165,0))</f>
        <v/>
      </c>
      <c r="J165" s="115">
        <f>IF($D165="","",IFERROR(IF(INDEX(INVENTARIO!$O$7:$O$26,MATCH($D165,INVENTARIO!$B$7:$B$26,0))="",CFG_WALMART,INDEX(INVENTARIO!$O$7:$O$26,MATCH($D165,INVENTARIO!$B$7:$B$26,0))),CFG_WALMART))</f>
        <v/>
      </c>
      <c r="K165" s="112">
        <f>IF($D165="","",$I165*$J165)</f>
        <v/>
      </c>
      <c r="L165" s="129" t="n"/>
      <c r="M165" s="114">
        <f>IF($D165="","",$I165-$K165-N($L165))</f>
        <v/>
      </c>
      <c r="N165" s="113">
        <f>IF($D165="","",IFERROR(INDEX(INVENTARIO!$L$7:$L$26,MATCH($D165,INVENTARIO!$B$7:$B$26,0))*1,0))</f>
        <v/>
      </c>
      <c r="O165" s="112">
        <f>IF($D165="","",N($F165)*$N165)</f>
        <v/>
      </c>
      <c r="P165" s="114">
        <f>IF($D165="","",$M165-$O165)</f>
        <v/>
      </c>
      <c r="Q165" s="115">
        <f>IF($D165="","",IF($I165&gt;0,$P165/$I165,""))</f>
        <v/>
      </c>
      <c r="R165" s="127" t="n"/>
    </row>
    <row r="166">
      <c r="B166" s="130" t="n"/>
      <c r="C166" s="100" t="n"/>
      <c r="D166" s="100" t="n"/>
      <c r="E166" s="96">
        <f>IF($D166="","",IFERROR(INDEX(INVENTARIO!$C$7:$C$26,MATCH($D166,INVENTARIO!$B$7:$B$26,0)),"⚠ ID no existe"))</f>
        <v/>
      </c>
      <c r="F166" s="128" t="n"/>
      <c r="G166" s="129" t="n"/>
      <c r="H166" s="112">
        <f>IF($D166="","",IF($G166="",IFERROR(INDEX(INVENTARIO!$N$7:$N$26,MATCH($D166,INVENTARIO!$B$7:$B$26,0)),""),$G166))</f>
        <v/>
      </c>
      <c r="I166" s="114">
        <f>IF($D166="","",N($F166)*IF(ISNUMBER($H166),$H166,0))</f>
        <v/>
      </c>
      <c r="J166" s="115">
        <f>IF($D166="","",IFERROR(IF(INDEX(INVENTARIO!$O$7:$O$26,MATCH($D166,INVENTARIO!$B$7:$B$26,0))="",CFG_WALMART,INDEX(INVENTARIO!$O$7:$O$26,MATCH($D166,INVENTARIO!$B$7:$B$26,0))),CFG_WALMART))</f>
        <v/>
      </c>
      <c r="K166" s="112">
        <f>IF($D166="","",$I166*$J166)</f>
        <v/>
      </c>
      <c r="L166" s="129" t="n"/>
      <c r="M166" s="114">
        <f>IF($D166="","",$I166-$K166-N($L166))</f>
        <v/>
      </c>
      <c r="N166" s="113">
        <f>IF($D166="","",IFERROR(INDEX(INVENTARIO!$L$7:$L$26,MATCH($D166,INVENTARIO!$B$7:$B$26,0))*1,0))</f>
        <v/>
      </c>
      <c r="O166" s="112">
        <f>IF($D166="","",N($F166)*$N166)</f>
        <v/>
      </c>
      <c r="P166" s="114">
        <f>IF($D166="","",$M166-$O166)</f>
        <v/>
      </c>
      <c r="Q166" s="115">
        <f>IF($D166="","",IF($I166&gt;0,$P166/$I166,""))</f>
        <v/>
      </c>
      <c r="R166" s="127" t="n"/>
    </row>
    <row r="167">
      <c r="B167" s="130" t="n"/>
      <c r="C167" s="100" t="n"/>
      <c r="D167" s="100" t="n"/>
      <c r="E167" s="96">
        <f>IF($D167="","",IFERROR(INDEX(INVENTARIO!$C$7:$C$26,MATCH($D167,INVENTARIO!$B$7:$B$26,0)),"⚠ ID no existe"))</f>
        <v/>
      </c>
      <c r="F167" s="128" t="n"/>
      <c r="G167" s="129" t="n"/>
      <c r="H167" s="112">
        <f>IF($D167="","",IF($G167="",IFERROR(INDEX(INVENTARIO!$N$7:$N$26,MATCH($D167,INVENTARIO!$B$7:$B$26,0)),""),$G167))</f>
        <v/>
      </c>
      <c r="I167" s="114">
        <f>IF($D167="","",N($F167)*IF(ISNUMBER($H167),$H167,0))</f>
        <v/>
      </c>
      <c r="J167" s="115">
        <f>IF($D167="","",IFERROR(IF(INDEX(INVENTARIO!$O$7:$O$26,MATCH($D167,INVENTARIO!$B$7:$B$26,0))="",CFG_WALMART,INDEX(INVENTARIO!$O$7:$O$26,MATCH($D167,INVENTARIO!$B$7:$B$26,0))),CFG_WALMART))</f>
        <v/>
      </c>
      <c r="K167" s="112">
        <f>IF($D167="","",$I167*$J167)</f>
        <v/>
      </c>
      <c r="L167" s="129" t="n"/>
      <c r="M167" s="114">
        <f>IF($D167="","",$I167-$K167-N($L167))</f>
        <v/>
      </c>
      <c r="N167" s="113">
        <f>IF($D167="","",IFERROR(INDEX(INVENTARIO!$L$7:$L$26,MATCH($D167,INVENTARIO!$B$7:$B$26,0))*1,0))</f>
        <v/>
      </c>
      <c r="O167" s="112">
        <f>IF($D167="","",N($F167)*$N167)</f>
        <v/>
      </c>
      <c r="P167" s="114">
        <f>IF($D167="","",$M167-$O167)</f>
        <v/>
      </c>
      <c r="Q167" s="115">
        <f>IF($D167="","",IF($I167&gt;0,$P167/$I167,""))</f>
        <v/>
      </c>
      <c r="R167" s="127" t="n"/>
    </row>
    <row r="168">
      <c r="B168" s="130" t="n"/>
      <c r="C168" s="100" t="n"/>
      <c r="D168" s="100" t="n"/>
      <c r="E168" s="96">
        <f>IF($D168="","",IFERROR(INDEX(INVENTARIO!$C$7:$C$26,MATCH($D168,INVENTARIO!$B$7:$B$26,0)),"⚠ ID no existe"))</f>
        <v/>
      </c>
      <c r="F168" s="128" t="n"/>
      <c r="G168" s="129" t="n"/>
      <c r="H168" s="112">
        <f>IF($D168="","",IF($G168="",IFERROR(INDEX(INVENTARIO!$N$7:$N$26,MATCH($D168,INVENTARIO!$B$7:$B$26,0)),""),$G168))</f>
        <v/>
      </c>
      <c r="I168" s="114">
        <f>IF($D168="","",N($F168)*IF(ISNUMBER($H168),$H168,0))</f>
        <v/>
      </c>
      <c r="J168" s="115">
        <f>IF($D168="","",IFERROR(IF(INDEX(INVENTARIO!$O$7:$O$26,MATCH($D168,INVENTARIO!$B$7:$B$26,0))="",CFG_WALMART,INDEX(INVENTARIO!$O$7:$O$26,MATCH($D168,INVENTARIO!$B$7:$B$26,0))),CFG_WALMART))</f>
        <v/>
      </c>
      <c r="K168" s="112">
        <f>IF($D168="","",$I168*$J168)</f>
        <v/>
      </c>
      <c r="L168" s="129" t="n"/>
      <c r="M168" s="114">
        <f>IF($D168="","",$I168-$K168-N($L168))</f>
        <v/>
      </c>
      <c r="N168" s="113">
        <f>IF($D168="","",IFERROR(INDEX(INVENTARIO!$L$7:$L$26,MATCH($D168,INVENTARIO!$B$7:$B$26,0))*1,0))</f>
        <v/>
      </c>
      <c r="O168" s="112">
        <f>IF($D168="","",N($F168)*$N168)</f>
        <v/>
      </c>
      <c r="P168" s="114">
        <f>IF($D168="","",$M168-$O168)</f>
        <v/>
      </c>
      <c r="Q168" s="115">
        <f>IF($D168="","",IF($I168&gt;0,$P168/$I168,""))</f>
        <v/>
      </c>
      <c r="R168" s="127" t="n"/>
    </row>
    <row r="169">
      <c r="B169" s="130" t="n"/>
      <c r="C169" s="100" t="n"/>
      <c r="D169" s="100" t="n"/>
      <c r="E169" s="96">
        <f>IF($D169="","",IFERROR(INDEX(INVENTARIO!$C$7:$C$26,MATCH($D169,INVENTARIO!$B$7:$B$26,0)),"⚠ ID no existe"))</f>
        <v/>
      </c>
      <c r="F169" s="128" t="n"/>
      <c r="G169" s="129" t="n"/>
      <c r="H169" s="112">
        <f>IF($D169="","",IF($G169="",IFERROR(INDEX(INVENTARIO!$N$7:$N$26,MATCH($D169,INVENTARIO!$B$7:$B$26,0)),""),$G169))</f>
        <v/>
      </c>
      <c r="I169" s="114">
        <f>IF($D169="","",N($F169)*IF(ISNUMBER($H169),$H169,0))</f>
        <v/>
      </c>
      <c r="J169" s="115">
        <f>IF($D169="","",IFERROR(IF(INDEX(INVENTARIO!$O$7:$O$26,MATCH($D169,INVENTARIO!$B$7:$B$26,0))="",CFG_WALMART,INDEX(INVENTARIO!$O$7:$O$26,MATCH($D169,INVENTARIO!$B$7:$B$26,0))),CFG_WALMART))</f>
        <v/>
      </c>
      <c r="K169" s="112">
        <f>IF($D169="","",$I169*$J169)</f>
        <v/>
      </c>
      <c r="L169" s="129" t="n"/>
      <c r="M169" s="114">
        <f>IF($D169="","",$I169-$K169-N($L169))</f>
        <v/>
      </c>
      <c r="N169" s="113">
        <f>IF($D169="","",IFERROR(INDEX(INVENTARIO!$L$7:$L$26,MATCH($D169,INVENTARIO!$B$7:$B$26,0))*1,0))</f>
        <v/>
      </c>
      <c r="O169" s="112">
        <f>IF($D169="","",N($F169)*$N169)</f>
        <v/>
      </c>
      <c r="P169" s="114">
        <f>IF($D169="","",$M169-$O169)</f>
        <v/>
      </c>
      <c r="Q169" s="115">
        <f>IF($D169="","",IF($I169&gt;0,$P169/$I169,""))</f>
        <v/>
      </c>
      <c r="R169" s="127" t="n"/>
    </row>
    <row r="170">
      <c r="B170" s="130" t="n"/>
      <c r="C170" s="100" t="n"/>
      <c r="D170" s="100" t="n"/>
      <c r="E170" s="96">
        <f>IF($D170="","",IFERROR(INDEX(INVENTARIO!$C$7:$C$26,MATCH($D170,INVENTARIO!$B$7:$B$26,0)),"⚠ ID no existe"))</f>
        <v/>
      </c>
      <c r="F170" s="128" t="n"/>
      <c r="G170" s="129" t="n"/>
      <c r="H170" s="112">
        <f>IF($D170="","",IF($G170="",IFERROR(INDEX(INVENTARIO!$N$7:$N$26,MATCH($D170,INVENTARIO!$B$7:$B$26,0)),""),$G170))</f>
        <v/>
      </c>
      <c r="I170" s="114">
        <f>IF($D170="","",N($F170)*IF(ISNUMBER($H170),$H170,0))</f>
        <v/>
      </c>
      <c r="J170" s="115">
        <f>IF($D170="","",IFERROR(IF(INDEX(INVENTARIO!$O$7:$O$26,MATCH($D170,INVENTARIO!$B$7:$B$26,0))="",CFG_WALMART,INDEX(INVENTARIO!$O$7:$O$26,MATCH($D170,INVENTARIO!$B$7:$B$26,0))),CFG_WALMART))</f>
        <v/>
      </c>
      <c r="K170" s="112">
        <f>IF($D170="","",$I170*$J170)</f>
        <v/>
      </c>
      <c r="L170" s="129" t="n"/>
      <c r="M170" s="114">
        <f>IF($D170="","",$I170-$K170-N($L170))</f>
        <v/>
      </c>
      <c r="N170" s="113">
        <f>IF($D170="","",IFERROR(INDEX(INVENTARIO!$L$7:$L$26,MATCH($D170,INVENTARIO!$B$7:$B$26,0))*1,0))</f>
        <v/>
      </c>
      <c r="O170" s="112">
        <f>IF($D170="","",N($F170)*$N170)</f>
        <v/>
      </c>
      <c r="P170" s="114">
        <f>IF($D170="","",$M170-$O170)</f>
        <v/>
      </c>
      <c r="Q170" s="115">
        <f>IF($D170="","",IF($I170&gt;0,$P170/$I170,""))</f>
        <v/>
      </c>
      <c r="R170" s="127" t="n"/>
    </row>
    <row r="171">
      <c r="B171" s="130" t="n"/>
      <c r="C171" s="100" t="n"/>
      <c r="D171" s="100" t="n"/>
      <c r="E171" s="96">
        <f>IF($D171="","",IFERROR(INDEX(INVENTARIO!$C$7:$C$26,MATCH($D171,INVENTARIO!$B$7:$B$26,0)),"⚠ ID no existe"))</f>
        <v/>
      </c>
      <c r="F171" s="128" t="n"/>
      <c r="G171" s="129" t="n"/>
      <c r="H171" s="112">
        <f>IF($D171="","",IF($G171="",IFERROR(INDEX(INVENTARIO!$N$7:$N$26,MATCH($D171,INVENTARIO!$B$7:$B$26,0)),""),$G171))</f>
        <v/>
      </c>
      <c r="I171" s="114">
        <f>IF($D171="","",N($F171)*IF(ISNUMBER($H171),$H171,0))</f>
        <v/>
      </c>
      <c r="J171" s="115">
        <f>IF($D171="","",IFERROR(IF(INDEX(INVENTARIO!$O$7:$O$26,MATCH($D171,INVENTARIO!$B$7:$B$26,0))="",CFG_WALMART,INDEX(INVENTARIO!$O$7:$O$26,MATCH($D171,INVENTARIO!$B$7:$B$26,0))),CFG_WALMART))</f>
        <v/>
      </c>
      <c r="K171" s="112">
        <f>IF($D171="","",$I171*$J171)</f>
        <v/>
      </c>
      <c r="L171" s="129" t="n"/>
      <c r="M171" s="114">
        <f>IF($D171="","",$I171-$K171-N($L171))</f>
        <v/>
      </c>
      <c r="N171" s="113">
        <f>IF($D171="","",IFERROR(INDEX(INVENTARIO!$L$7:$L$26,MATCH($D171,INVENTARIO!$B$7:$B$26,0))*1,0))</f>
        <v/>
      </c>
      <c r="O171" s="112">
        <f>IF($D171="","",N($F171)*$N171)</f>
        <v/>
      </c>
      <c r="P171" s="114">
        <f>IF($D171="","",$M171-$O171)</f>
        <v/>
      </c>
      <c r="Q171" s="115">
        <f>IF($D171="","",IF($I171&gt;0,$P171/$I171,""))</f>
        <v/>
      </c>
      <c r="R171" s="127" t="n"/>
    </row>
    <row r="172">
      <c r="B172" s="130" t="n"/>
      <c r="C172" s="100" t="n"/>
      <c r="D172" s="100" t="n"/>
      <c r="E172" s="96">
        <f>IF($D172="","",IFERROR(INDEX(INVENTARIO!$C$7:$C$26,MATCH($D172,INVENTARIO!$B$7:$B$26,0)),"⚠ ID no existe"))</f>
        <v/>
      </c>
      <c r="F172" s="128" t="n"/>
      <c r="G172" s="129" t="n"/>
      <c r="H172" s="112">
        <f>IF($D172="","",IF($G172="",IFERROR(INDEX(INVENTARIO!$N$7:$N$26,MATCH($D172,INVENTARIO!$B$7:$B$26,0)),""),$G172))</f>
        <v/>
      </c>
      <c r="I172" s="114">
        <f>IF($D172="","",N($F172)*IF(ISNUMBER($H172),$H172,0))</f>
        <v/>
      </c>
      <c r="J172" s="115">
        <f>IF($D172="","",IFERROR(IF(INDEX(INVENTARIO!$O$7:$O$26,MATCH($D172,INVENTARIO!$B$7:$B$26,0))="",CFG_WALMART,INDEX(INVENTARIO!$O$7:$O$26,MATCH($D172,INVENTARIO!$B$7:$B$26,0))),CFG_WALMART))</f>
        <v/>
      </c>
      <c r="K172" s="112">
        <f>IF($D172="","",$I172*$J172)</f>
        <v/>
      </c>
      <c r="L172" s="129" t="n"/>
      <c r="M172" s="114">
        <f>IF($D172="","",$I172-$K172-N($L172))</f>
        <v/>
      </c>
      <c r="N172" s="113">
        <f>IF($D172="","",IFERROR(INDEX(INVENTARIO!$L$7:$L$26,MATCH($D172,INVENTARIO!$B$7:$B$26,0))*1,0))</f>
        <v/>
      </c>
      <c r="O172" s="112">
        <f>IF($D172="","",N($F172)*$N172)</f>
        <v/>
      </c>
      <c r="P172" s="114">
        <f>IF($D172="","",$M172-$O172)</f>
        <v/>
      </c>
      <c r="Q172" s="115">
        <f>IF($D172="","",IF($I172&gt;0,$P172/$I172,""))</f>
        <v/>
      </c>
      <c r="R172" s="127" t="n"/>
    </row>
    <row r="173">
      <c r="B173" s="130" t="n"/>
      <c r="C173" s="100" t="n"/>
      <c r="D173" s="100" t="n"/>
      <c r="E173" s="96">
        <f>IF($D173="","",IFERROR(INDEX(INVENTARIO!$C$7:$C$26,MATCH($D173,INVENTARIO!$B$7:$B$26,0)),"⚠ ID no existe"))</f>
        <v/>
      </c>
      <c r="F173" s="128" t="n"/>
      <c r="G173" s="129" t="n"/>
      <c r="H173" s="112">
        <f>IF($D173="","",IF($G173="",IFERROR(INDEX(INVENTARIO!$N$7:$N$26,MATCH($D173,INVENTARIO!$B$7:$B$26,0)),""),$G173))</f>
        <v/>
      </c>
      <c r="I173" s="114">
        <f>IF($D173="","",N($F173)*IF(ISNUMBER($H173),$H173,0))</f>
        <v/>
      </c>
      <c r="J173" s="115">
        <f>IF($D173="","",IFERROR(IF(INDEX(INVENTARIO!$O$7:$O$26,MATCH($D173,INVENTARIO!$B$7:$B$26,0))="",CFG_WALMART,INDEX(INVENTARIO!$O$7:$O$26,MATCH($D173,INVENTARIO!$B$7:$B$26,0))),CFG_WALMART))</f>
        <v/>
      </c>
      <c r="K173" s="112">
        <f>IF($D173="","",$I173*$J173)</f>
        <v/>
      </c>
      <c r="L173" s="129" t="n"/>
      <c r="M173" s="114">
        <f>IF($D173="","",$I173-$K173-N($L173))</f>
        <v/>
      </c>
      <c r="N173" s="113">
        <f>IF($D173="","",IFERROR(INDEX(INVENTARIO!$L$7:$L$26,MATCH($D173,INVENTARIO!$B$7:$B$26,0))*1,0))</f>
        <v/>
      </c>
      <c r="O173" s="112">
        <f>IF($D173="","",N($F173)*$N173)</f>
        <v/>
      </c>
      <c r="P173" s="114">
        <f>IF($D173="","",$M173-$O173)</f>
        <v/>
      </c>
      <c r="Q173" s="115">
        <f>IF($D173="","",IF($I173&gt;0,$P173/$I173,""))</f>
        <v/>
      </c>
      <c r="R173" s="127" t="n"/>
    </row>
    <row r="174">
      <c r="B174" s="130" t="n"/>
      <c r="C174" s="100" t="n"/>
      <c r="D174" s="100" t="n"/>
      <c r="E174" s="96">
        <f>IF($D174="","",IFERROR(INDEX(INVENTARIO!$C$7:$C$26,MATCH($D174,INVENTARIO!$B$7:$B$26,0)),"⚠ ID no existe"))</f>
        <v/>
      </c>
      <c r="F174" s="128" t="n"/>
      <c r="G174" s="129" t="n"/>
      <c r="H174" s="112">
        <f>IF($D174="","",IF($G174="",IFERROR(INDEX(INVENTARIO!$N$7:$N$26,MATCH($D174,INVENTARIO!$B$7:$B$26,0)),""),$G174))</f>
        <v/>
      </c>
      <c r="I174" s="114">
        <f>IF($D174="","",N($F174)*IF(ISNUMBER($H174),$H174,0))</f>
        <v/>
      </c>
      <c r="J174" s="115">
        <f>IF($D174="","",IFERROR(IF(INDEX(INVENTARIO!$O$7:$O$26,MATCH($D174,INVENTARIO!$B$7:$B$26,0))="",CFG_WALMART,INDEX(INVENTARIO!$O$7:$O$26,MATCH($D174,INVENTARIO!$B$7:$B$26,0))),CFG_WALMART))</f>
        <v/>
      </c>
      <c r="K174" s="112">
        <f>IF($D174="","",$I174*$J174)</f>
        <v/>
      </c>
      <c r="L174" s="129" t="n"/>
      <c r="M174" s="114">
        <f>IF($D174="","",$I174-$K174-N($L174))</f>
        <v/>
      </c>
      <c r="N174" s="113">
        <f>IF($D174="","",IFERROR(INDEX(INVENTARIO!$L$7:$L$26,MATCH($D174,INVENTARIO!$B$7:$B$26,0))*1,0))</f>
        <v/>
      </c>
      <c r="O174" s="112">
        <f>IF($D174="","",N($F174)*$N174)</f>
        <v/>
      </c>
      <c r="P174" s="114">
        <f>IF($D174="","",$M174-$O174)</f>
        <v/>
      </c>
      <c r="Q174" s="115">
        <f>IF($D174="","",IF($I174&gt;0,$P174/$I174,""))</f>
        <v/>
      </c>
      <c r="R174" s="127" t="n"/>
    </row>
    <row r="175">
      <c r="B175" s="130" t="n"/>
      <c r="C175" s="100" t="n"/>
      <c r="D175" s="100" t="n"/>
      <c r="E175" s="96">
        <f>IF($D175="","",IFERROR(INDEX(INVENTARIO!$C$7:$C$26,MATCH($D175,INVENTARIO!$B$7:$B$26,0)),"⚠ ID no existe"))</f>
        <v/>
      </c>
      <c r="F175" s="128" t="n"/>
      <c r="G175" s="129" t="n"/>
      <c r="H175" s="112">
        <f>IF($D175="","",IF($G175="",IFERROR(INDEX(INVENTARIO!$N$7:$N$26,MATCH($D175,INVENTARIO!$B$7:$B$26,0)),""),$G175))</f>
        <v/>
      </c>
      <c r="I175" s="114">
        <f>IF($D175="","",N($F175)*IF(ISNUMBER($H175),$H175,0))</f>
        <v/>
      </c>
      <c r="J175" s="115">
        <f>IF($D175="","",IFERROR(IF(INDEX(INVENTARIO!$O$7:$O$26,MATCH($D175,INVENTARIO!$B$7:$B$26,0))="",CFG_WALMART,INDEX(INVENTARIO!$O$7:$O$26,MATCH($D175,INVENTARIO!$B$7:$B$26,0))),CFG_WALMART))</f>
        <v/>
      </c>
      <c r="K175" s="112">
        <f>IF($D175="","",$I175*$J175)</f>
        <v/>
      </c>
      <c r="L175" s="129" t="n"/>
      <c r="M175" s="114">
        <f>IF($D175="","",$I175-$K175-N($L175))</f>
        <v/>
      </c>
      <c r="N175" s="113">
        <f>IF($D175="","",IFERROR(INDEX(INVENTARIO!$L$7:$L$26,MATCH($D175,INVENTARIO!$B$7:$B$26,0))*1,0))</f>
        <v/>
      </c>
      <c r="O175" s="112">
        <f>IF($D175="","",N($F175)*$N175)</f>
        <v/>
      </c>
      <c r="P175" s="114">
        <f>IF($D175="","",$M175-$O175)</f>
        <v/>
      </c>
      <c r="Q175" s="115">
        <f>IF($D175="","",IF($I175&gt;0,$P175/$I175,""))</f>
        <v/>
      </c>
      <c r="R175" s="127" t="n"/>
    </row>
    <row r="176">
      <c r="B176" s="130" t="n"/>
      <c r="C176" s="100" t="n"/>
      <c r="D176" s="100" t="n"/>
      <c r="E176" s="96">
        <f>IF($D176="","",IFERROR(INDEX(INVENTARIO!$C$7:$C$26,MATCH($D176,INVENTARIO!$B$7:$B$26,0)),"⚠ ID no existe"))</f>
        <v/>
      </c>
      <c r="F176" s="128" t="n"/>
      <c r="G176" s="129" t="n"/>
      <c r="H176" s="112">
        <f>IF($D176="","",IF($G176="",IFERROR(INDEX(INVENTARIO!$N$7:$N$26,MATCH($D176,INVENTARIO!$B$7:$B$26,0)),""),$G176))</f>
        <v/>
      </c>
      <c r="I176" s="114">
        <f>IF($D176="","",N($F176)*IF(ISNUMBER($H176),$H176,0))</f>
        <v/>
      </c>
      <c r="J176" s="115">
        <f>IF($D176="","",IFERROR(IF(INDEX(INVENTARIO!$O$7:$O$26,MATCH($D176,INVENTARIO!$B$7:$B$26,0))="",CFG_WALMART,INDEX(INVENTARIO!$O$7:$O$26,MATCH($D176,INVENTARIO!$B$7:$B$26,0))),CFG_WALMART))</f>
        <v/>
      </c>
      <c r="K176" s="112">
        <f>IF($D176="","",$I176*$J176)</f>
        <v/>
      </c>
      <c r="L176" s="129" t="n"/>
      <c r="M176" s="114">
        <f>IF($D176="","",$I176-$K176-N($L176))</f>
        <v/>
      </c>
      <c r="N176" s="113">
        <f>IF($D176="","",IFERROR(INDEX(INVENTARIO!$L$7:$L$26,MATCH($D176,INVENTARIO!$B$7:$B$26,0))*1,0))</f>
        <v/>
      </c>
      <c r="O176" s="112">
        <f>IF($D176="","",N($F176)*$N176)</f>
        <v/>
      </c>
      <c r="P176" s="114">
        <f>IF($D176="","",$M176-$O176)</f>
        <v/>
      </c>
      <c r="Q176" s="115">
        <f>IF($D176="","",IF($I176&gt;0,$P176/$I176,""))</f>
        <v/>
      </c>
      <c r="R176" s="127" t="n"/>
    </row>
    <row r="177">
      <c r="B177" s="130" t="n"/>
      <c r="C177" s="100" t="n"/>
      <c r="D177" s="100" t="n"/>
      <c r="E177" s="96">
        <f>IF($D177="","",IFERROR(INDEX(INVENTARIO!$C$7:$C$26,MATCH($D177,INVENTARIO!$B$7:$B$26,0)),"⚠ ID no existe"))</f>
        <v/>
      </c>
      <c r="F177" s="128" t="n"/>
      <c r="G177" s="129" t="n"/>
      <c r="H177" s="112">
        <f>IF($D177="","",IF($G177="",IFERROR(INDEX(INVENTARIO!$N$7:$N$26,MATCH($D177,INVENTARIO!$B$7:$B$26,0)),""),$G177))</f>
        <v/>
      </c>
      <c r="I177" s="114">
        <f>IF($D177="","",N($F177)*IF(ISNUMBER($H177),$H177,0))</f>
        <v/>
      </c>
      <c r="J177" s="115">
        <f>IF($D177="","",IFERROR(IF(INDEX(INVENTARIO!$O$7:$O$26,MATCH($D177,INVENTARIO!$B$7:$B$26,0))="",CFG_WALMART,INDEX(INVENTARIO!$O$7:$O$26,MATCH($D177,INVENTARIO!$B$7:$B$26,0))),CFG_WALMART))</f>
        <v/>
      </c>
      <c r="K177" s="112">
        <f>IF($D177="","",$I177*$J177)</f>
        <v/>
      </c>
      <c r="L177" s="129" t="n"/>
      <c r="M177" s="114">
        <f>IF($D177="","",$I177-$K177-N($L177))</f>
        <v/>
      </c>
      <c r="N177" s="113">
        <f>IF($D177="","",IFERROR(INDEX(INVENTARIO!$L$7:$L$26,MATCH($D177,INVENTARIO!$B$7:$B$26,0))*1,0))</f>
        <v/>
      </c>
      <c r="O177" s="112">
        <f>IF($D177="","",N($F177)*$N177)</f>
        <v/>
      </c>
      <c r="P177" s="114">
        <f>IF($D177="","",$M177-$O177)</f>
        <v/>
      </c>
      <c r="Q177" s="115">
        <f>IF($D177="","",IF($I177&gt;0,$P177/$I177,""))</f>
        <v/>
      </c>
      <c r="R177" s="127" t="n"/>
    </row>
    <row r="178">
      <c r="B178" s="130" t="n"/>
      <c r="C178" s="100" t="n"/>
      <c r="D178" s="100" t="n"/>
      <c r="E178" s="96">
        <f>IF($D178="","",IFERROR(INDEX(INVENTARIO!$C$7:$C$26,MATCH($D178,INVENTARIO!$B$7:$B$26,0)),"⚠ ID no existe"))</f>
        <v/>
      </c>
      <c r="F178" s="128" t="n"/>
      <c r="G178" s="129" t="n"/>
      <c r="H178" s="112">
        <f>IF($D178="","",IF($G178="",IFERROR(INDEX(INVENTARIO!$N$7:$N$26,MATCH($D178,INVENTARIO!$B$7:$B$26,0)),""),$G178))</f>
        <v/>
      </c>
      <c r="I178" s="114">
        <f>IF($D178="","",N($F178)*IF(ISNUMBER($H178),$H178,0))</f>
        <v/>
      </c>
      <c r="J178" s="115">
        <f>IF($D178="","",IFERROR(IF(INDEX(INVENTARIO!$O$7:$O$26,MATCH($D178,INVENTARIO!$B$7:$B$26,0))="",CFG_WALMART,INDEX(INVENTARIO!$O$7:$O$26,MATCH($D178,INVENTARIO!$B$7:$B$26,0))),CFG_WALMART))</f>
        <v/>
      </c>
      <c r="K178" s="112">
        <f>IF($D178="","",$I178*$J178)</f>
        <v/>
      </c>
      <c r="L178" s="129" t="n"/>
      <c r="M178" s="114">
        <f>IF($D178="","",$I178-$K178-N($L178))</f>
        <v/>
      </c>
      <c r="N178" s="113">
        <f>IF($D178="","",IFERROR(INDEX(INVENTARIO!$L$7:$L$26,MATCH($D178,INVENTARIO!$B$7:$B$26,0))*1,0))</f>
        <v/>
      </c>
      <c r="O178" s="112">
        <f>IF($D178="","",N($F178)*$N178)</f>
        <v/>
      </c>
      <c r="P178" s="114">
        <f>IF($D178="","",$M178-$O178)</f>
        <v/>
      </c>
      <c r="Q178" s="115">
        <f>IF($D178="","",IF($I178&gt;0,$P178/$I178,""))</f>
        <v/>
      </c>
      <c r="R178" s="127" t="n"/>
    </row>
    <row r="179">
      <c r="B179" s="130" t="n"/>
      <c r="C179" s="100" t="n"/>
      <c r="D179" s="100" t="n"/>
      <c r="E179" s="96">
        <f>IF($D179="","",IFERROR(INDEX(INVENTARIO!$C$7:$C$26,MATCH($D179,INVENTARIO!$B$7:$B$26,0)),"⚠ ID no existe"))</f>
        <v/>
      </c>
      <c r="F179" s="128" t="n"/>
      <c r="G179" s="129" t="n"/>
      <c r="H179" s="112">
        <f>IF($D179="","",IF($G179="",IFERROR(INDEX(INVENTARIO!$N$7:$N$26,MATCH($D179,INVENTARIO!$B$7:$B$26,0)),""),$G179))</f>
        <v/>
      </c>
      <c r="I179" s="114">
        <f>IF($D179="","",N($F179)*IF(ISNUMBER($H179),$H179,0))</f>
        <v/>
      </c>
      <c r="J179" s="115">
        <f>IF($D179="","",IFERROR(IF(INDEX(INVENTARIO!$O$7:$O$26,MATCH($D179,INVENTARIO!$B$7:$B$26,0))="",CFG_WALMART,INDEX(INVENTARIO!$O$7:$O$26,MATCH($D179,INVENTARIO!$B$7:$B$26,0))),CFG_WALMART))</f>
        <v/>
      </c>
      <c r="K179" s="112">
        <f>IF($D179="","",$I179*$J179)</f>
        <v/>
      </c>
      <c r="L179" s="129" t="n"/>
      <c r="M179" s="114">
        <f>IF($D179="","",$I179-$K179-N($L179))</f>
        <v/>
      </c>
      <c r="N179" s="113">
        <f>IF($D179="","",IFERROR(INDEX(INVENTARIO!$L$7:$L$26,MATCH($D179,INVENTARIO!$B$7:$B$26,0))*1,0))</f>
        <v/>
      </c>
      <c r="O179" s="112">
        <f>IF($D179="","",N($F179)*$N179)</f>
        <v/>
      </c>
      <c r="P179" s="114">
        <f>IF($D179="","",$M179-$O179)</f>
        <v/>
      </c>
      <c r="Q179" s="115">
        <f>IF($D179="","",IF($I179&gt;0,$P179/$I179,""))</f>
        <v/>
      </c>
      <c r="R179" s="127" t="n"/>
    </row>
    <row r="180">
      <c r="B180" s="130" t="n"/>
      <c r="C180" s="100" t="n"/>
      <c r="D180" s="100" t="n"/>
      <c r="E180" s="96">
        <f>IF($D180="","",IFERROR(INDEX(INVENTARIO!$C$7:$C$26,MATCH($D180,INVENTARIO!$B$7:$B$26,0)),"⚠ ID no existe"))</f>
        <v/>
      </c>
      <c r="F180" s="128" t="n"/>
      <c r="G180" s="129" t="n"/>
      <c r="H180" s="112">
        <f>IF($D180="","",IF($G180="",IFERROR(INDEX(INVENTARIO!$N$7:$N$26,MATCH($D180,INVENTARIO!$B$7:$B$26,0)),""),$G180))</f>
        <v/>
      </c>
      <c r="I180" s="114">
        <f>IF($D180="","",N($F180)*IF(ISNUMBER($H180),$H180,0))</f>
        <v/>
      </c>
      <c r="J180" s="115">
        <f>IF($D180="","",IFERROR(IF(INDEX(INVENTARIO!$O$7:$O$26,MATCH($D180,INVENTARIO!$B$7:$B$26,0))="",CFG_WALMART,INDEX(INVENTARIO!$O$7:$O$26,MATCH($D180,INVENTARIO!$B$7:$B$26,0))),CFG_WALMART))</f>
        <v/>
      </c>
      <c r="K180" s="112">
        <f>IF($D180="","",$I180*$J180)</f>
        <v/>
      </c>
      <c r="L180" s="129" t="n"/>
      <c r="M180" s="114">
        <f>IF($D180="","",$I180-$K180-N($L180))</f>
        <v/>
      </c>
      <c r="N180" s="113">
        <f>IF($D180="","",IFERROR(INDEX(INVENTARIO!$L$7:$L$26,MATCH($D180,INVENTARIO!$B$7:$B$26,0))*1,0))</f>
        <v/>
      </c>
      <c r="O180" s="112">
        <f>IF($D180="","",N($F180)*$N180)</f>
        <v/>
      </c>
      <c r="P180" s="114">
        <f>IF($D180="","",$M180-$O180)</f>
        <v/>
      </c>
      <c r="Q180" s="115">
        <f>IF($D180="","",IF($I180&gt;0,$P180/$I180,""))</f>
        <v/>
      </c>
      <c r="R180" s="127" t="n"/>
    </row>
    <row r="181">
      <c r="B181" s="130" t="n"/>
      <c r="C181" s="100" t="n"/>
      <c r="D181" s="100" t="n"/>
      <c r="E181" s="96">
        <f>IF($D181="","",IFERROR(INDEX(INVENTARIO!$C$7:$C$26,MATCH($D181,INVENTARIO!$B$7:$B$26,0)),"⚠ ID no existe"))</f>
        <v/>
      </c>
      <c r="F181" s="128" t="n"/>
      <c r="G181" s="129" t="n"/>
      <c r="H181" s="112">
        <f>IF($D181="","",IF($G181="",IFERROR(INDEX(INVENTARIO!$N$7:$N$26,MATCH($D181,INVENTARIO!$B$7:$B$26,0)),""),$G181))</f>
        <v/>
      </c>
      <c r="I181" s="114">
        <f>IF($D181="","",N($F181)*IF(ISNUMBER($H181),$H181,0))</f>
        <v/>
      </c>
      <c r="J181" s="115">
        <f>IF($D181="","",IFERROR(IF(INDEX(INVENTARIO!$O$7:$O$26,MATCH($D181,INVENTARIO!$B$7:$B$26,0))="",CFG_WALMART,INDEX(INVENTARIO!$O$7:$O$26,MATCH($D181,INVENTARIO!$B$7:$B$26,0))),CFG_WALMART))</f>
        <v/>
      </c>
      <c r="K181" s="112">
        <f>IF($D181="","",$I181*$J181)</f>
        <v/>
      </c>
      <c r="L181" s="129" t="n"/>
      <c r="M181" s="114">
        <f>IF($D181="","",$I181-$K181-N($L181))</f>
        <v/>
      </c>
      <c r="N181" s="113">
        <f>IF($D181="","",IFERROR(INDEX(INVENTARIO!$L$7:$L$26,MATCH($D181,INVENTARIO!$B$7:$B$26,0))*1,0))</f>
        <v/>
      </c>
      <c r="O181" s="112">
        <f>IF($D181="","",N($F181)*$N181)</f>
        <v/>
      </c>
      <c r="P181" s="114">
        <f>IF($D181="","",$M181-$O181)</f>
        <v/>
      </c>
      <c r="Q181" s="115">
        <f>IF($D181="","",IF($I181&gt;0,$P181/$I181,""))</f>
        <v/>
      </c>
      <c r="R181" s="127" t="n"/>
    </row>
    <row r="182">
      <c r="B182" s="130" t="n"/>
      <c r="C182" s="100" t="n"/>
      <c r="D182" s="100" t="n"/>
      <c r="E182" s="96">
        <f>IF($D182="","",IFERROR(INDEX(INVENTARIO!$C$7:$C$26,MATCH($D182,INVENTARIO!$B$7:$B$26,0)),"⚠ ID no existe"))</f>
        <v/>
      </c>
      <c r="F182" s="128" t="n"/>
      <c r="G182" s="129" t="n"/>
      <c r="H182" s="112">
        <f>IF($D182="","",IF($G182="",IFERROR(INDEX(INVENTARIO!$N$7:$N$26,MATCH($D182,INVENTARIO!$B$7:$B$26,0)),""),$G182))</f>
        <v/>
      </c>
      <c r="I182" s="114">
        <f>IF($D182="","",N($F182)*IF(ISNUMBER($H182),$H182,0))</f>
        <v/>
      </c>
      <c r="J182" s="115">
        <f>IF($D182="","",IFERROR(IF(INDEX(INVENTARIO!$O$7:$O$26,MATCH($D182,INVENTARIO!$B$7:$B$26,0))="",CFG_WALMART,INDEX(INVENTARIO!$O$7:$O$26,MATCH($D182,INVENTARIO!$B$7:$B$26,0))),CFG_WALMART))</f>
        <v/>
      </c>
      <c r="K182" s="112">
        <f>IF($D182="","",$I182*$J182)</f>
        <v/>
      </c>
      <c r="L182" s="129" t="n"/>
      <c r="M182" s="114">
        <f>IF($D182="","",$I182-$K182-N($L182))</f>
        <v/>
      </c>
      <c r="N182" s="113">
        <f>IF($D182="","",IFERROR(INDEX(INVENTARIO!$L$7:$L$26,MATCH($D182,INVENTARIO!$B$7:$B$26,0))*1,0))</f>
        <v/>
      </c>
      <c r="O182" s="112">
        <f>IF($D182="","",N($F182)*$N182)</f>
        <v/>
      </c>
      <c r="P182" s="114">
        <f>IF($D182="","",$M182-$O182)</f>
        <v/>
      </c>
      <c r="Q182" s="115">
        <f>IF($D182="","",IF($I182&gt;0,$P182/$I182,""))</f>
        <v/>
      </c>
      <c r="R182" s="127" t="n"/>
    </row>
    <row r="183">
      <c r="B183" s="130" t="n"/>
      <c r="C183" s="100" t="n"/>
      <c r="D183" s="100" t="n"/>
      <c r="E183" s="96">
        <f>IF($D183="","",IFERROR(INDEX(INVENTARIO!$C$7:$C$26,MATCH($D183,INVENTARIO!$B$7:$B$26,0)),"⚠ ID no existe"))</f>
        <v/>
      </c>
      <c r="F183" s="128" t="n"/>
      <c r="G183" s="129" t="n"/>
      <c r="H183" s="112">
        <f>IF($D183="","",IF($G183="",IFERROR(INDEX(INVENTARIO!$N$7:$N$26,MATCH($D183,INVENTARIO!$B$7:$B$26,0)),""),$G183))</f>
        <v/>
      </c>
      <c r="I183" s="114">
        <f>IF($D183="","",N($F183)*IF(ISNUMBER($H183),$H183,0))</f>
        <v/>
      </c>
      <c r="J183" s="115">
        <f>IF($D183="","",IFERROR(IF(INDEX(INVENTARIO!$O$7:$O$26,MATCH($D183,INVENTARIO!$B$7:$B$26,0))="",CFG_WALMART,INDEX(INVENTARIO!$O$7:$O$26,MATCH($D183,INVENTARIO!$B$7:$B$26,0))),CFG_WALMART))</f>
        <v/>
      </c>
      <c r="K183" s="112">
        <f>IF($D183="","",$I183*$J183)</f>
        <v/>
      </c>
      <c r="L183" s="129" t="n"/>
      <c r="M183" s="114">
        <f>IF($D183="","",$I183-$K183-N($L183))</f>
        <v/>
      </c>
      <c r="N183" s="113">
        <f>IF($D183="","",IFERROR(INDEX(INVENTARIO!$L$7:$L$26,MATCH($D183,INVENTARIO!$B$7:$B$26,0))*1,0))</f>
        <v/>
      </c>
      <c r="O183" s="112">
        <f>IF($D183="","",N($F183)*$N183)</f>
        <v/>
      </c>
      <c r="P183" s="114">
        <f>IF($D183="","",$M183-$O183)</f>
        <v/>
      </c>
      <c r="Q183" s="115">
        <f>IF($D183="","",IF($I183&gt;0,$P183/$I183,""))</f>
        <v/>
      </c>
      <c r="R183" s="127" t="n"/>
    </row>
    <row r="184">
      <c r="B184" s="130" t="n"/>
      <c r="C184" s="100" t="n"/>
      <c r="D184" s="100" t="n"/>
      <c r="E184" s="96">
        <f>IF($D184="","",IFERROR(INDEX(INVENTARIO!$C$7:$C$26,MATCH($D184,INVENTARIO!$B$7:$B$26,0)),"⚠ ID no existe"))</f>
        <v/>
      </c>
      <c r="F184" s="128" t="n"/>
      <c r="G184" s="129" t="n"/>
      <c r="H184" s="112">
        <f>IF($D184="","",IF($G184="",IFERROR(INDEX(INVENTARIO!$N$7:$N$26,MATCH($D184,INVENTARIO!$B$7:$B$26,0)),""),$G184))</f>
        <v/>
      </c>
      <c r="I184" s="114">
        <f>IF($D184="","",N($F184)*IF(ISNUMBER($H184),$H184,0))</f>
        <v/>
      </c>
      <c r="J184" s="115">
        <f>IF($D184="","",IFERROR(IF(INDEX(INVENTARIO!$O$7:$O$26,MATCH($D184,INVENTARIO!$B$7:$B$26,0))="",CFG_WALMART,INDEX(INVENTARIO!$O$7:$O$26,MATCH($D184,INVENTARIO!$B$7:$B$26,0))),CFG_WALMART))</f>
        <v/>
      </c>
      <c r="K184" s="112">
        <f>IF($D184="","",$I184*$J184)</f>
        <v/>
      </c>
      <c r="L184" s="129" t="n"/>
      <c r="M184" s="114">
        <f>IF($D184="","",$I184-$K184-N($L184))</f>
        <v/>
      </c>
      <c r="N184" s="113">
        <f>IF($D184="","",IFERROR(INDEX(INVENTARIO!$L$7:$L$26,MATCH($D184,INVENTARIO!$B$7:$B$26,0))*1,0))</f>
        <v/>
      </c>
      <c r="O184" s="112">
        <f>IF($D184="","",N($F184)*$N184)</f>
        <v/>
      </c>
      <c r="P184" s="114">
        <f>IF($D184="","",$M184-$O184)</f>
        <v/>
      </c>
      <c r="Q184" s="115">
        <f>IF($D184="","",IF($I184&gt;0,$P184/$I184,""))</f>
        <v/>
      </c>
      <c r="R184" s="127" t="n"/>
    </row>
    <row r="185">
      <c r="B185" s="130" t="n"/>
      <c r="C185" s="100" t="n"/>
      <c r="D185" s="100" t="n"/>
      <c r="E185" s="96">
        <f>IF($D185="","",IFERROR(INDEX(INVENTARIO!$C$7:$C$26,MATCH($D185,INVENTARIO!$B$7:$B$26,0)),"⚠ ID no existe"))</f>
        <v/>
      </c>
      <c r="F185" s="128" t="n"/>
      <c r="G185" s="129" t="n"/>
      <c r="H185" s="112">
        <f>IF($D185="","",IF($G185="",IFERROR(INDEX(INVENTARIO!$N$7:$N$26,MATCH($D185,INVENTARIO!$B$7:$B$26,0)),""),$G185))</f>
        <v/>
      </c>
      <c r="I185" s="114">
        <f>IF($D185="","",N($F185)*IF(ISNUMBER($H185),$H185,0))</f>
        <v/>
      </c>
      <c r="J185" s="115">
        <f>IF($D185="","",IFERROR(IF(INDEX(INVENTARIO!$O$7:$O$26,MATCH($D185,INVENTARIO!$B$7:$B$26,0))="",CFG_WALMART,INDEX(INVENTARIO!$O$7:$O$26,MATCH($D185,INVENTARIO!$B$7:$B$26,0))),CFG_WALMART))</f>
        <v/>
      </c>
      <c r="K185" s="112">
        <f>IF($D185="","",$I185*$J185)</f>
        <v/>
      </c>
      <c r="L185" s="129" t="n"/>
      <c r="M185" s="114">
        <f>IF($D185="","",$I185-$K185-N($L185))</f>
        <v/>
      </c>
      <c r="N185" s="113">
        <f>IF($D185="","",IFERROR(INDEX(INVENTARIO!$L$7:$L$26,MATCH($D185,INVENTARIO!$B$7:$B$26,0))*1,0))</f>
        <v/>
      </c>
      <c r="O185" s="112">
        <f>IF($D185="","",N($F185)*$N185)</f>
        <v/>
      </c>
      <c r="P185" s="114">
        <f>IF($D185="","",$M185-$O185)</f>
        <v/>
      </c>
      <c r="Q185" s="115">
        <f>IF($D185="","",IF($I185&gt;0,$P185/$I185,""))</f>
        <v/>
      </c>
      <c r="R185" s="127" t="n"/>
    </row>
    <row r="186">
      <c r="B186" s="130" t="n"/>
      <c r="C186" s="100" t="n"/>
      <c r="D186" s="100" t="n"/>
      <c r="E186" s="96">
        <f>IF($D186="","",IFERROR(INDEX(INVENTARIO!$C$7:$C$26,MATCH($D186,INVENTARIO!$B$7:$B$26,0)),"⚠ ID no existe"))</f>
        <v/>
      </c>
      <c r="F186" s="128" t="n"/>
      <c r="G186" s="129" t="n"/>
      <c r="H186" s="112">
        <f>IF($D186="","",IF($G186="",IFERROR(INDEX(INVENTARIO!$N$7:$N$26,MATCH($D186,INVENTARIO!$B$7:$B$26,0)),""),$G186))</f>
        <v/>
      </c>
      <c r="I186" s="114">
        <f>IF($D186="","",N($F186)*IF(ISNUMBER($H186),$H186,0))</f>
        <v/>
      </c>
      <c r="J186" s="115">
        <f>IF($D186="","",IFERROR(IF(INDEX(INVENTARIO!$O$7:$O$26,MATCH($D186,INVENTARIO!$B$7:$B$26,0))="",CFG_WALMART,INDEX(INVENTARIO!$O$7:$O$26,MATCH($D186,INVENTARIO!$B$7:$B$26,0))),CFG_WALMART))</f>
        <v/>
      </c>
      <c r="K186" s="112">
        <f>IF($D186="","",$I186*$J186)</f>
        <v/>
      </c>
      <c r="L186" s="129" t="n"/>
      <c r="M186" s="114">
        <f>IF($D186="","",$I186-$K186-N($L186))</f>
        <v/>
      </c>
      <c r="N186" s="113">
        <f>IF($D186="","",IFERROR(INDEX(INVENTARIO!$L$7:$L$26,MATCH($D186,INVENTARIO!$B$7:$B$26,0))*1,0))</f>
        <v/>
      </c>
      <c r="O186" s="112">
        <f>IF($D186="","",N($F186)*$N186)</f>
        <v/>
      </c>
      <c r="P186" s="114">
        <f>IF($D186="","",$M186-$O186)</f>
        <v/>
      </c>
      <c r="Q186" s="115">
        <f>IF($D186="","",IF($I186&gt;0,$P186/$I186,""))</f>
        <v/>
      </c>
      <c r="R186" s="127" t="n"/>
    </row>
    <row r="187">
      <c r="B187" s="130" t="n"/>
      <c r="C187" s="100" t="n"/>
      <c r="D187" s="100" t="n"/>
      <c r="E187" s="96">
        <f>IF($D187="","",IFERROR(INDEX(INVENTARIO!$C$7:$C$26,MATCH($D187,INVENTARIO!$B$7:$B$26,0)),"⚠ ID no existe"))</f>
        <v/>
      </c>
      <c r="F187" s="128" t="n"/>
      <c r="G187" s="129" t="n"/>
      <c r="H187" s="112">
        <f>IF($D187="","",IF($G187="",IFERROR(INDEX(INVENTARIO!$N$7:$N$26,MATCH($D187,INVENTARIO!$B$7:$B$26,0)),""),$G187))</f>
        <v/>
      </c>
      <c r="I187" s="114">
        <f>IF($D187="","",N($F187)*IF(ISNUMBER($H187),$H187,0))</f>
        <v/>
      </c>
      <c r="J187" s="115">
        <f>IF($D187="","",IFERROR(IF(INDEX(INVENTARIO!$O$7:$O$26,MATCH($D187,INVENTARIO!$B$7:$B$26,0))="",CFG_WALMART,INDEX(INVENTARIO!$O$7:$O$26,MATCH($D187,INVENTARIO!$B$7:$B$26,0))),CFG_WALMART))</f>
        <v/>
      </c>
      <c r="K187" s="112">
        <f>IF($D187="","",$I187*$J187)</f>
        <v/>
      </c>
      <c r="L187" s="129" t="n"/>
      <c r="M187" s="114">
        <f>IF($D187="","",$I187-$K187-N($L187))</f>
        <v/>
      </c>
      <c r="N187" s="113">
        <f>IF($D187="","",IFERROR(INDEX(INVENTARIO!$L$7:$L$26,MATCH($D187,INVENTARIO!$B$7:$B$26,0))*1,0))</f>
        <v/>
      </c>
      <c r="O187" s="112">
        <f>IF($D187="","",N($F187)*$N187)</f>
        <v/>
      </c>
      <c r="P187" s="114">
        <f>IF($D187="","",$M187-$O187)</f>
        <v/>
      </c>
      <c r="Q187" s="115">
        <f>IF($D187="","",IF($I187&gt;0,$P187/$I187,""))</f>
        <v/>
      </c>
      <c r="R187" s="127" t="n"/>
    </row>
    <row r="188">
      <c r="B188" s="130" t="n"/>
      <c r="C188" s="100" t="n"/>
      <c r="D188" s="100" t="n"/>
      <c r="E188" s="96">
        <f>IF($D188="","",IFERROR(INDEX(INVENTARIO!$C$7:$C$26,MATCH($D188,INVENTARIO!$B$7:$B$26,0)),"⚠ ID no existe"))</f>
        <v/>
      </c>
      <c r="F188" s="128" t="n"/>
      <c r="G188" s="129" t="n"/>
      <c r="H188" s="112">
        <f>IF($D188="","",IF($G188="",IFERROR(INDEX(INVENTARIO!$N$7:$N$26,MATCH($D188,INVENTARIO!$B$7:$B$26,0)),""),$G188))</f>
        <v/>
      </c>
      <c r="I188" s="114">
        <f>IF($D188="","",N($F188)*IF(ISNUMBER($H188),$H188,0))</f>
        <v/>
      </c>
      <c r="J188" s="115">
        <f>IF($D188="","",IFERROR(IF(INDEX(INVENTARIO!$O$7:$O$26,MATCH($D188,INVENTARIO!$B$7:$B$26,0))="",CFG_WALMART,INDEX(INVENTARIO!$O$7:$O$26,MATCH($D188,INVENTARIO!$B$7:$B$26,0))),CFG_WALMART))</f>
        <v/>
      </c>
      <c r="K188" s="112">
        <f>IF($D188="","",$I188*$J188)</f>
        <v/>
      </c>
      <c r="L188" s="129" t="n"/>
      <c r="M188" s="114">
        <f>IF($D188="","",$I188-$K188-N($L188))</f>
        <v/>
      </c>
      <c r="N188" s="113">
        <f>IF($D188="","",IFERROR(INDEX(INVENTARIO!$L$7:$L$26,MATCH($D188,INVENTARIO!$B$7:$B$26,0))*1,0))</f>
        <v/>
      </c>
      <c r="O188" s="112">
        <f>IF($D188="","",N($F188)*$N188)</f>
        <v/>
      </c>
      <c r="P188" s="114">
        <f>IF($D188="","",$M188-$O188)</f>
        <v/>
      </c>
      <c r="Q188" s="115">
        <f>IF($D188="","",IF($I188&gt;0,$P188/$I188,""))</f>
        <v/>
      </c>
      <c r="R188" s="127" t="n"/>
    </row>
    <row r="189">
      <c r="B189" s="130" t="n"/>
      <c r="C189" s="100" t="n"/>
      <c r="D189" s="100" t="n"/>
      <c r="E189" s="96">
        <f>IF($D189="","",IFERROR(INDEX(INVENTARIO!$C$7:$C$26,MATCH($D189,INVENTARIO!$B$7:$B$26,0)),"⚠ ID no existe"))</f>
        <v/>
      </c>
      <c r="F189" s="128" t="n"/>
      <c r="G189" s="129" t="n"/>
      <c r="H189" s="112">
        <f>IF($D189="","",IF($G189="",IFERROR(INDEX(INVENTARIO!$N$7:$N$26,MATCH($D189,INVENTARIO!$B$7:$B$26,0)),""),$G189))</f>
        <v/>
      </c>
      <c r="I189" s="114">
        <f>IF($D189="","",N($F189)*IF(ISNUMBER($H189),$H189,0))</f>
        <v/>
      </c>
      <c r="J189" s="115">
        <f>IF($D189="","",IFERROR(IF(INDEX(INVENTARIO!$O$7:$O$26,MATCH($D189,INVENTARIO!$B$7:$B$26,0))="",CFG_WALMART,INDEX(INVENTARIO!$O$7:$O$26,MATCH($D189,INVENTARIO!$B$7:$B$26,0))),CFG_WALMART))</f>
        <v/>
      </c>
      <c r="K189" s="112">
        <f>IF($D189="","",$I189*$J189)</f>
        <v/>
      </c>
      <c r="L189" s="129" t="n"/>
      <c r="M189" s="114">
        <f>IF($D189="","",$I189-$K189-N($L189))</f>
        <v/>
      </c>
      <c r="N189" s="113">
        <f>IF($D189="","",IFERROR(INDEX(INVENTARIO!$L$7:$L$26,MATCH($D189,INVENTARIO!$B$7:$B$26,0))*1,0))</f>
        <v/>
      </c>
      <c r="O189" s="112">
        <f>IF($D189="","",N($F189)*$N189)</f>
        <v/>
      </c>
      <c r="P189" s="114">
        <f>IF($D189="","",$M189-$O189)</f>
        <v/>
      </c>
      <c r="Q189" s="115">
        <f>IF($D189="","",IF($I189&gt;0,$P189/$I189,""))</f>
        <v/>
      </c>
      <c r="R189" s="127" t="n"/>
    </row>
    <row r="190">
      <c r="B190" s="130" t="n"/>
      <c r="C190" s="100" t="n"/>
      <c r="D190" s="100" t="n"/>
      <c r="E190" s="96">
        <f>IF($D190="","",IFERROR(INDEX(INVENTARIO!$C$7:$C$26,MATCH($D190,INVENTARIO!$B$7:$B$26,0)),"⚠ ID no existe"))</f>
        <v/>
      </c>
      <c r="F190" s="128" t="n"/>
      <c r="G190" s="129" t="n"/>
      <c r="H190" s="112">
        <f>IF($D190="","",IF($G190="",IFERROR(INDEX(INVENTARIO!$N$7:$N$26,MATCH($D190,INVENTARIO!$B$7:$B$26,0)),""),$G190))</f>
        <v/>
      </c>
      <c r="I190" s="114">
        <f>IF($D190="","",N($F190)*IF(ISNUMBER($H190),$H190,0))</f>
        <v/>
      </c>
      <c r="J190" s="115">
        <f>IF($D190="","",IFERROR(IF(INDEX(INVENTARIO!$O$7:$O$26,MATCH($D190,INVENTARIO!$B$7:$B$26,0))="",CFG_WALMART,INDEX(INVENTARIO!$O$7:$O$26,MATCH($D190,INVENTARIO!$B$7:$B$26,0))),CFG_WALMART))</f>
        <v/>
      </c>
      <c r="K190" s="112">
        <f>IF($D190="","",$I190*$J190)</f>
        <v/>
      </c>
      <c r="L190" s="129" t="n"/>
      <c r="M190" s="114">
        <f>IF($D190="","",$I190-$K190-N($L190))</f>
        <v/>
      </c>
      <c r="N190" s="113">
        <f>IF($D190="","",IFERROR(INDEX(INVENTARIO!$L$7:$L$26,MATCH($D190,INVENTARIO!$B$7:$B$26,0))*1,0))</f>
        <v/>
      </c>
      <c r="O190" s="112">
        <f>IF($D190="","",N($F190)*$N190)</f>
        <v/>
      </c>
      <c r="P190" s="114">
        <f>IF($D190="","",$M190-$O190)</f>
        <v/>
      </c>
      <c r="Q190" s="115">
        <f>IF($D190="","",IF($I190&gt;0,$P190/$I190,""))</f>
        <v/>
      </c>
      <c r="R190" s="127" t="n"/>
    </row>
    <row r="191">
      <c r="B191" s="130" t="n"/>
      <c r="C191" s="100" t="n"/>
      <c r="D191" s="100" t="n"/>
      <c r="E191" s="96">
        <f>IF($D191="","",IFERROR(INDEX(INVENTARIO!$C$7:$C$26,MATCH($D191,INVENTARIO!$B$7:$B$26,0)),"⚠ ID no existe"))</f>
        <v/>
      </c>
      <c r="F191" s="128" t="n"/>
      <c r="G191" s="129" t="n"/>
      <c r="H191" s="112">
        <f>IF($D191="","",IF($G191="",IFERROR(INDEX(INVENTARIO!$N$7:$N$26,MATCH($D191,INVENTARIO!$B$7:$B$26,0)),""),$G191))</f>
        <v/>
      </c>
      <c r="I191" s="114">
        <f>IF($D191="","",N($F191)*IF(ISNUMBER($H191),$H191,0))</f>
        <v/>
      </c>
      <c r="J191" s="115">
        <f>IF($D191="","",IFERROR(IF(INDEX(INVENTARIO!$O$7:$O$26,MATCH($D191,INVENTARIO!$B$7:$B$26,0))="",CFG_WALMART,INDEX(INVENTARIO!$O$7:$O$26,MATCH($D191,INVENTARIO!$B$7:$B$26,0))),CFG_WALMART))</f>
        <v/>
      </c>
      <c r="K191" s="112">
        <f>IF($D191="","",$I191*$J191)</f>
        <v/>
      </c>
      <c r="L191" s="129" t="n"/>
      <c r="M191" s="114">
        <f>IF($D191="","",$I191-$K191-N($L191))</f>
        <v/>
      </c>
      <c r="N191" s="113">
        <f>IF($D191="","",IFERROR(INDEX(INVENTARIO!$L$7:$L$26,MATCH($D191,INVENTARIO!$B$7:$B$26,0))*1,0))</f>
        <v/>
      </c>
      <c r="O191" s="112">
        <f>IF($D191="","",N($F191)*$N191)</f>
        <v/>
      </c>
      <c r="P191" s="114">
        <f>IF($D191="","",$M191-$O191)</f>
        <v/>
      </c>
      <c r="Q191" s="115">
        <f>IF($D191="","",IF($I191&gt;0,$P191/$I191,""))</f>
        <v/>
      </c>
      <c r="R191" s="127" t="n"/>
    </row>
    <row r="192">
      <c r="B192" s="130" t="n"/>
      <c r="C192" s="100" t="n"/>
      <c r="D192" s="100" t="n"/>
      <c r="E192" s="96">
        <f>IF($D192="","",IFERROR(INDEX(INVENTARIO!$C$7:$C$26,MATCH($D192,INVENTARIO!$B$7:$B$26,0)),"⚠ ID no existe"))</f>
        <v/>
      </c>
      <c r="F192" s="128" t="n"/>
      <c r="G192" s="129" t="n"/>
      <c r="H192" s="112">
        <f>IF($D192="","",IF($G192="",IFERROR(INDEX(INVENTARIO!$N$7:$N$26,MATCH($D192,INVENTARIO!$B$7:$B$26,0)),""),$G192))</f>
        <v/>
      </c>
      <c r="I192" s="114">
        <f>IF($D192="","",N($F192)*IF(ISNUMBER($H192),$H192,0))</f>
        <v/>
      </c>
      <c r="J192" s="115">
        <f>IF($D192="","",IFERROR(IF(INDEX(INVENTARIO!$O$7:$O$26,MATCH($D192,INVENTARIO!$B$7:$B$26,0))="",CFG_WALMART,INDEX(INVENTARIO!$O$7:$O$26,MATCH($D192,INVENTARIO!$B$7:$B$26,0))),CFG_WALMART))</f>
        <v/>
      </c>
      <c r="K192" s="112">
        <f>IF($D192="","",$I192*$J192)</f>
        <v/>
      </c>
      <c r="L192" s="129" t="n"/>
      <c r="M192" s="114">
        <f>IF($D192="","",$I192-$K192-N($L192))</f>
        <v/>
      </c>
      <c r="N192" s="113">
        <f>IF($D192="","",IFERROR(INDEX(INVENTARIO!$L$7:$L$26,MATCH($D192,INVENTARIO!$B$7:$B$26,0))*1,0))</f>
        <v/>
      </c>
      <c r="O192" s="112">
        <f>IF($D192="","",N($F192)*$N192)</f>
        <v/>
      </c>
      <c r="P192" s="114">
        <f>IF($D192="","",$M192-$O192)</f>
        <v/>
      </c>
      <c r="Q192" s="115">
        <f>IF($D192="","",IF($I192&gt;0,$P192/$I192,""))</f>
        <v/>
      </c>
      <c r="R192" s="127" t="n"/>
    </row>
    <row r="193">
      <c r="B193" s="130" t="n"/>
      <c r="C193" s="100" t="n"/>
      <c r="D193" s="100" t="n"/>
      <c r="E193" s="96">
        <f>IF($D193="","",IFERROR(INDEX(INVENTARIO!$C$7:$C$26,MATCH($D193,INVENTARIO!$B$7:$B$26,0)),"⚠ ID no existe"))</f>
        <v/>
      </c>
      <c r="F193" s="128" t="n"/>
      <c r="G193" s="129" t="n"/>
      <c r="H193" s="112">
        <f>IF($D193="","",IF($G193="",IFERROR(INDEX(INVENTARIO!$N$7:$N$26,MATCH($D193,INVENTARIO!$B$7:$B$26,0)),""),$G193))</f>
        <v/>
      </c>
      <c r="I193" s="114">
        <f>IF($D193="","",N($F193)*IF(ISNUMBER($H193),$H193,0))</f>
        <v/>
      </c>
      <c r="J193" s="115">
        <f>IF($D193="","",IFERROR(IF(INDEX(INVENTARIO!$O$7:$O$26,MATCH($D193,INVENTARIO!$B$7:$B$26,0))="",CFG_WALMART,INDEX(INVENTARIO!$O$7:$O$26,MATCH($D193,INVENTARIO!$B$7:$B$26,0))),CFG_WALMART))</f>
        <v/>
      </c>
      <c r="K193" s="112">
        <f>IF($D193="","",$I193*$J193)</f>
        <v/>
      </c>
      <c r="L193" s="129" t="n"/>
      <c r="M193" s="114">
        <f>IF($D193="","",$I193-$K193-N($L193))</f>
        <v/>
      </c>
      <c r="N193" s="113">
        <f>IF($D193="","",IFERROR(INDEX(INVENTARIO!$L$7:$L$26,MATCH($D193,INVENTARIO!$B$7:$B$26,0))*1,0))</f>
        <v/>
      </c>
      <c r="O193" s="112">
        <f>IF($D193="","",N($F193)*$N193)</f>
        <v/>
      </c>
      <c r="P193" s="114">
        <f>IF($D193="","",$M193-$O193)</f>
        <v/>
      </c>
      <c r="Q193" s="115">
        <f>IF($D193="","",IF($I193&gt;0,$P193/$I193,""))</f>
        <v/>
      </c>
      <c r="R193" s="127" t="n"/>
    </row>
    <row r="194">
      <c r="B194" s="130" t="n"/>
      <c r="C194" s="100" t="n"/>
      <c r="D194" s="100" t="n"/>
      <c r="E194" s="96">
        <f>IF($D194="","",IFERROR(INDEX(INVENTARIO!$C$7:$C$26,MATCH($D194,INVENTARIO!$B$7:$B$26,0)),"⚠ ID no existe"))</f>
        <v/>
      </c>
      <c r="F194" s="128" t="n"/>
      <c r="G194" s="129" t="n"/>
      <c r="H194" s="112">
        <f>IF($D194="","",IF($G194="",IFERROR(INDEX(INVENTARIO!$N$7:$N$26,MATCH($D194,INVENTARIO!$B$7:$B$26,0)),""),$G194))</f>
        <v/>
      </c>
      <c r="I194" s="114">
        <f>IF($D194="","",N($F194)*IF(ISNUMBER($H194),$H194,0))</f>
        <v/>
      </c>
      <c r="J194" s="115">
        <f>IF($D194="","",IFERROR(IF(INDEX(INVENTARIO!$O$7:$O$26,MATCH($D194,INVENTARIO!$B$7:$B$26,0))="",CFG_WALMART,INDEX(INVENTARIO!$O$7:$O$26,MATCH($D194,INVENTARIO!$B$7:$B$26,0))),CFG_WALMART))</f>
        <v/>
      </c>
      <c r="K194" s="112">
        <f>IF($D194="","",$I194*$J194)</f>
        <v/>
      </c>
      <c r="L194" s="129" t="n"/>
      <c r="M194" s="114">
        <f>IF($D194="","",$I194-$K194-N($L194))</f>
        <v/>
      </c>
      <c r="N194" s="113">
        <f>IF($D194="","",IFERROR(INDEX(INVENTARIO!$L$7:$L$26,MATCH($D194,INVENTARIO!$B$7:$B$26,0))*1,0))</f>
        <v/>
      </c>
      <c r="O194" s="112">
        <f>IF($D194="","",N($F194)*$N194)</f>
        <v/>
      </c>
      <c r="P194" s="114">
        <f>IF($D194="","",$M194-$O194)</f>
        <v/>
      </c>
      <c r="Q194" s="115">
        <f>IF($D194="","",IF($I194&gt;0,$P194/$I194,""))</f>
        <v/>
      </c>
      <c r="R194" s="127" t="n"/>
    </row>
    <row r="195">
      <c r="B195" s="130" t="n"/>
      <c r="C195" s="100" t="n"/>
      <c r="D195" s="100" t="n"/>
      <c r="E195" s="96">
        <f>IF($D195="","",IFERROR(INDEX(INVENTARIO!$C$7:$C$26,MATCH($D195,INVENTARIO!$B$7:$B$26,0)),"⚠ ID no existe"))</f>
        <v/>
      </c>
      <c r="F195" s="128" t="n"/>
      <c r="G195" s="129" t="n"/>
      <c r="H195" s="112">
        <f>IF($D195="","",IF($G195="",IFERROR(INDEX(INVENTARIO!$N$7:$N$26,MATCH($D195,INVENTARIO!$B$7:$B$26,0)),""),$G195))</f>
        <v/>
      </c>
      <c r="I195" s="114">
        <f>IF($D195="","",N($F195)*IF(ISNUMBER($H195),$H195,0))</f>
        <v/>
      </c>
      <c r="J195" s="115">
        <f>IF($D195="","",IFERROR(IF(INDEX(INVENTARIO!$O$7:$O$26,MATCH($D195,INVENTARIO!$B$7:$B$26,0))="",CFG_WALMART,INDEX(INVENTARIO!$O$7:$O$26,MATCH($D195,INVENTARIO!$B$7:$B$26,0))),CFG_WALMART))</f>
        <v/>
      </c>
      <c r="K195" s="112">
        <f>IF($D195="","",$I195*$J195)</f>
        <v/>
      </c>
      <c r="L195" s="129" t="n"/>
      <c r="M195" s="114">
        <f>IF($D195="","",$I195-$K195-N($L195))</f>
        <v/>
      </c>
      <c r="N195" s="113">
        <f>IF($D195="","",IFERROR(INDEX(INVENTARIO!$L$7:$L$26,MATCH($D195,INVENTARIO!$B$7:$B$26,0))*1,0))</f>
        <v/>
      </c>
      <c r="O195" s="112">
        <f>IF($D195="","",N($F195)*$N195)</f>
        <v/>
      </c>
      <c r="P195" s="114">
        <f>IF($D195="","",$M195-$O195)</f>
        <v/>
      </c>
      <c r="Q195" s="115">
        <f>IF($D195="","",IF($I195&gt;0,$P195/$I195,""))</f>
        <v/>
      </c>
      <c r="R195" s="127" t="n"/>
    </row>
    <row r="196">
      <c r="B196" s="130" t="n"/>
      <c r="C196" s="100" t="n"/>
      <c r="D196" s="100" t="n"/>
      <c r="E196" s="96">
        <f>IF($D196="","",IFERROR(INDEX(INVENTARIO!$C$7:$C$26,MATCH($D196,INVENTARIO!$B$7:$B$26,0)),"⚠ ID no existe"))</f>
        <v/>
      </c>
      <c r="F196" s="128" t="n"/>
      <c r="G196" s="129" t="n"/>
      <c r="H196" s="112">
        <f>IF($D196="","",IF($G196="",IFERROR(INDEX(INVENTARIO!$N$7:$N$26,MATCH($D196,INVENTARIO!$B$7:$B$26,0)),""),$G196))</f>
        <v/>
      </c>
      <c r="I196" s="114">
        <f>IF($D196="","",N($F196)*IF(ISNUMBER($H196),$H196,0))</f>
        <v/>
      </c>
      <c r="J196" s="115">
        <f>IF($D196="","",IFERROR(IF(INDEX(INVENTARIO!$O$7:$O$26,MATCH($D196,INVENTARIO!$B$7:$B$26,0))="",CFG_WALMART,INDEX(INVENTARIO!$O$7:$O$26,MATCH($D196,INVENTARIO!$B$7:$B$26,0))),CFG_WALMART))</f>
        <v/>
      </c>
      <c r="K196" s="112">
        <f>IF($D196="","",$I196*$J196)</f>
        <v/>
      </c>
      <c r="L196" s="129" t="n"/>
      <c r="M196" s="114">
        <f>IF($D196="","",$I196-$K196-N($L196))</f>
        <v/>
      </c>
      <c r="N196" s="113">
        <f>IF($D196="","",IFERROR(INDEX(INVENTARIO!$L$7:$L$26,MATCH($D196,INVENTARIO!$B$7:$B$26,0))*1,0))</f>
        <v/>
      </c>
      <c r="O196" s="112">
        <f>IF($D196="","",N($F196)*$N196)</f>
        <v/>
      </c>
      <c r="P196" s="114">
        <f>IF($D196="","",$M196-$O196)</f>
        <v/>
      </c>
      <c r="Q196" s="115">
        <f>IF($D196="","",IF($I196&gt;0,$P196/$I196,""))</f>
        <v/>
      </c>
      <c r="R196" s="127" t="n"/>
    </row>
    <row r="197">
      <c r="B197" s="130" t="n"/>
      <c r="C197" s="100" t="n"/>
      <c r="D197" s="100" t="n"/>
      <c r="E197" s="96">
        <f>IF($D197="","",IFERROR(INDEX(INVENTARIO!$C$7:$C$26,MATCH($D197,INVENTARIO!$B$7:$B$26,0)),"⚠ ID no existe"))</f>
        <v/>
      </c>
      <c r="F197" s="128" t="n"/>
      <c r="G197" s="129" t="n"/>
      <c r="H197" s="112">
        <f>IF($D197="","",IF($G197="",IFERROR(INDEX(INVENTARIO!$N$7:$N$26,MATCH($D197,INVENTARIO!$B$7:$B$26,0)),""),$G197))</f>
        <v/>
      </c>
      <c r="I197" s="114">
        <f>IF($D197="","",N($F197)*IF(ISNUMBER($H197),$H197,0))</f>
        <v/>
      </c>
      <c r="J197" s="115">
        <f>IF($D197="","",IFERROR(IF(INDEX(INVENTARIO!$O$7:$O$26,MATCH($D197,INVENTARIO!$B$7:$B$26,0))="",CFG_WALMART,INDEX(INVENTARIO!$O$7:$O$26,MATCH($D197,INVENTARIO!$B$7:$B$26,0))),CFG_WALMART))</f>
        <v/>
      </c>
      <c r="K197" s="112">
        <f>IF($D197="","",$I197*$J197)</f>
        <v/>
      </c>
      <c r="L197" s="129" t="n"/>
      <c r="M197" s="114">
        <f>IF($D197="","",$I197-$K197-N($L197))</f>
        <v/>
      </c>
      <c r="N197" s="113">
        <f>IF($D197="","",IFERROR(INDEX(INVENTARIO!$L$7:$L$26,MATCH($D197,INVENTARIO!$B$7:$B$26,0))*1,0))</f>
        <v/>
      </c>
      <c r="O197" s="112">
        <f>IF($D197="","",N($F197)*$N197)</f>
        <v/>
      </c>
      <c r="P197" s="114">
        <f>IF($D197="","",$M197-$O197)</f>
        <v/>
      </c>
      <c r="Q197" s="115">
        <f>IF($D197="","",IF($I197&gt;0,$P197/$I197,""))</f>
        <v/>
      </c>
      <c r="R197" s="127" t="n"/>
    </row>
    <row r="198">
      <c r="B198" s="130" t="n"/>
      <c r="C198" s="100" t="n"/>
      <c r="D198" s="100" t="n"/>
      <c r="E198" s="96">
        <f>IF($D198="","",IFERROR(INDEX(INVENTARIO!$C$7:$C$26,MATCH($D198,INVENTARIO!$B$7:$B$26,0)),"⚠ ID no existe"))</f>
        <v/>
      </c>
      <c r="F198" s="128" t="n"/>
      <c r="G198" s="129" t="n"/>
      <c r="H198" s="112">
        <f>IF($D198="","",IF($G198="",IFERROR(INDEX(INVENTARIO!$N$7:$N$26,MATCH($D198,INVENTARIO!$B$7:$B$26,0)),""),$G198))</f>
        <v/>
      </c>
      <c r="I198" s="114">
        <f>IF($D198="","",N($F198)*IF(ISNUMBER($H198),$H198,0))</f>
        <v/>
      </c>
      <c r="J198" s="115">
        <f>IF($D198="","",IFERROR(IF(INDEX(INVENTARIO!$O$7:$O$26,MATCH($D198,INVENTARIO!$B$7:$B$26,0))="",CFG_WALMART,INDEX(INVENTARIO!$O$7:$O$26,MATCH($D198,INVENTARIO!$B$7:$B$26,0))),CFG_WALMART))</f>
        <v/>
      </c>
      <c r="K198" s="112">
        <f>IF($D198="","",$I198*$J198)</f>
        <v/>
      </c>
      <c r="L198" s="129" t="n"/>
      <c r="M198" s="114">
        <f>IF($D198="","",$I198-$K198-N($L198))</f>
        <v/>
      </c>
      <c r="N198" s="113">
        <f>IF($D198="","",IFERROR(INDEX(INVENTARIO!$L$7:$L$26,MATCH($D198,INVENTARIO!$B$7:$B$26,0))*1,0))</f>
        <v/>
      </c>
      <c r="O198" s="112">
        <f>IF($D198="","",N($F198)*$N198)</f>
        <v/>
      </c>
      <c r="P198" s="114">
        <f>IF($D198="","",$M198-$O198)</f>
        <v/>
      </c>
      <c r="Q198" s="115">
        <f>IF($D198="","",IF($I198&gt;0,$P198/$I198,""))</f>
        <v/>
      </c>
      <c r="R198" s="127" t="n"/>
    </row>
    <row r="199">
      <c r="B199" s="130" t="n"/>
      <c r="C199" s="100" t="n"/>
      <c r="D199" s="100" t="n"/>
      <c r="E199" s="96">
        <f>IF($D199="","",IFERROR(INDEX(INVENTARIO!$C$7:$C$26,MATCH($D199,INVENTARIO!$B$7:$B$26,0)),"⚠ ID no existe"))</f>
        <v/>
      </c>
      <c r="F199" s="128" t="n"/>
      <c r="G199" s="129" t="n"/>
      <c r="H199" s="112">
        <f>IF($D199="","",IF($G199="",IFERROR(INDEX(INVENTARIO!$N$7:$N$26,MATCH($D199,INVENTARIO!$B$7:$B$26,0)),""),$G199))</f>
        <v/>
      </c>
      <c r="I199" s="114">
        <f>IF($D199="","",N($F199)*IF(ISNUMBER($H199),$H199,0))</f>
        <v/>
      </c>
      <c r="J199" s="115">
        <f>IF($D199="","",IFERROR(IF(INDEX(INVENTARIO!$O$7:$O$26,MATCH($D199,INVENTARIO!$B$7:$B$26,0))="",CFG_WALMART,INDEX(INVENTARIO!$O$7:$O$26,MATCH($D199,INVENTARIO!$B$7:$B$26,0))),CFG_WALMART))</f>
        <v/>
      </c>
      <c r="K199" s="112">
        <f>IF($D199="","",$I199*$J199)</f>
        <v/>
      </c>
      <c r="L199" s="129" t="n"/>
      <c r="M199" s="114">
        <f>IF($D199="","",$I199-$K199-N($L199))</f>
        <v/>
      </c>
      <c r="N199" s="113">
        <f>IF($D199="","",IFERROR(INDEX(INVENTARIO!$L$7:$L$26,MATCH($D199,INVENTARIO!$B$7:$B$26,0))*1,0))</f>
        <v/>
      </c>
      <c r="O199" s="112">
        <f>IF($D199="","",N($F199)*$N199)</f>
        <v/>
      </c>
      <c r="P199" s="114">
        <f>IF($D199="","",$M199-$O199)</f>
        <v/>
      </c>
      <c r="Q199" s="115">
        <f>IF($D199="","",IF($I199&gt;0,$P199/$I199,""))</f>
        <v/>
      </c>
      <c r="R199" s="127" t="n"/>
    </row>
    <row r="200">
      <c r="B200" s="130" t="n"/>
      <c r="C200" s="100" t="n"/>
      <c r="D200" s="100" t="n"/>
      <c r="E200" s="96">
        <f>IF($D200="","",IFERROR(INDEX(INVENTARIO!$C$7:$C$26,MATCH($D200,INVENTARIO!$B$7:$B$26,0)),"⚠ ID no existe"))</f>
        <v/>
      </c>
      <c r="F200" s="128" t="n"/>
      <c r="G200" s="129" t="n"/>
      <c r="H200" s="112">
        <f>IF($D200="","",IF($G200="",IFERROR(INDEX(INVENTARIO!$N$7:$N$26,MATCH($D200,INVENTARIO!$B$7:$B$26,0)),""),$G200))</f>
        <v/>
      </c>
      <c r="I200" s="114">
        <f>IF($D200="","",N($F200)*IF(ISNUMBER($H200),$H200,0))</f>
        <v/>
      </c>
      <c r="J200" s="115">
        <f>IF($D200="","",IFERROR(IF(INDEX(INVENTARIO!$O$7:$O$26,MATCH($D200,INVENTARIO!$B$7:$B$26,0))="",CFG_WALMART,INDEX(INVENTARIO!$O$7:$O$26,MATCH($D200,INVENTARIO!$B$7:$B$26,0))),CFG_WALMART))</f>
        <v/>
      </c>
      <c r="K200" s="112">
        <f>IF($D200="","",$I200*$J200)</f>
        <v/>
      </c>
      <c r="L200" s="129" t="n"/>
      <c r="M200" s="114">
        <f>IF($D200="","",$I200-$K200-N($L200))</f>
        <v/>
      </c>
      <c r="N200" s="113">
        <f>IF($D200="","",IFERROR(INDEX(INVENTARIO!$L$7:$L$26,MATCH($D200,INVENTARIO!$B$7:$B$26,0))*1,0))</f>
        <v/>
      </c>
      <c r="O200" s="112">
        <f>IF($D200="","",N($F200)*$N200)</f>
        <v/>
      </c>
      <c r="P200" s="114">
        <f>IF($D200="","",$M200-$O200)</f>
        <v/>
      </c>
      <c r="Q200" s="115">
        <f>IF($D200="","",IF($I200&gt;0,$P200/$I200,""))</f>
        <v/>
      </c>
      <c r="R200" s="127" t="n"/>
    </row>
    <row r="201">
      <c r="B201" s="130" t="n"/>
      <c r="C201" s="100" t="n"/>
      <c r="D201" s="100" t="n"/>
      <c r="E201" s="96">
        <f>IF($D201="","",IFERROR(INDEX(INVENTARIO!$C$7:$C$26,MATCH($D201,INVENTARIO!$B$7:$B$26,0)),"⚠ ID no existe"))</f>
        <v/>
      </c>
      <c r="F201" s="128" t="n"/>
      <c r="G201" s="129" t="n"/>
      <c r="H201" s="112">
        <f>IF($D201="","",IF($G201="",IFERROR(INDEX(INVENTARIO!$N$7:$N$26,MATCH($D201,INVENTARIO!$B$7:$B$26,0)),""),$G201))</f>
        <v/>
      </c>
      <c r="I201" s="114">
        <f>IF($D201="","",N($F201)*IF(ISNUMBER($H201),$H201,0))</f>
        <v/>
      </c>
      <c r="J201" s="115">
        <f>IF($D201="","",IFERROR(IF(INDEX(INVENTARIO!$O$7:$O$26,MATCH($D201,INVENTARIO!$B$7:$B$26,0))="",CFG_WALMART,INDEX(INVENTARIO!$O$7:$O$26,MATCH($D201,INVENTARIO!$B$7:$B$26,0))),CFG_WALMART))</f>
        <v/>
      </c>
      <c r="K201" s="112">
        <f>IF($D201="","",$I201*$J201)</f>
        <v/>
      </c>
      <c r="L201" s="129" t="n"/>
      <c r="M201" s="114">
        <f>IF($D201="","",$I201-$K201-N($L201))</f>
        <v/>
      </c>
      <c r="N201" s="113">
        <f>IF($D201="","",IFERROR(INDEX(INVENTARIO!$L$7:$L$26,MATCH($D201,INVENTARIO!$B$7:$B$26,0))*1,0))</f>
        <v/>
      </c>
      <c r="O201" s="112">
        <f>IF($D201="","",N($F201)*$N201)</f>
        <v/>
      </c>
      <c r="P201" s="114">
        <f>IF($D201="","",$M201-$O201)</f>
        <v/>
      </c>
      <c r="Q201" s="115">
        <f>IF($D201="","",IF($I201&gt;0,$P201/$I201,""))</f>
        <v/>
      </c>
      <c r="R201" s="127" t="n"/>
    </row>
    <row r="202">
      <c r="B202" s="130" t="n"/>
      <c r="C202" s="100" t="n"/>
      <c r="D202" s="100" t="n"/>
      <c r="E202" s="96">
        <f>IF($D202="","",IFERROR(INDEX(INVENTARIO!$C$7:$C$26,MATCH($D202,INVENTARIO!$B$7:$B$26,0)),"⚠ ID no existe"))</f>
        <v/>
      </c>
      <c r="F202" s="128" t="n"/>
      <c r="G202" s="129" t="n"/>
      <c r="H202" s="112">
        <f>IF($D202="","",IF($G202="",IFERROR(INDEX(INVENTARIO!$N$7:$N$26,MATCH($D202,INVENTARIO!$B$7:$B$26,0)),""),$G202))</f>
        <v/>
      </c>
      <c r="I202" s="114">
        <f>IF($D202="","",N($F202)*IF(ISNUMBER($H202),$H202,0))</f>
        <v/>
      </c>
      <c r="J202" s="115">
        <f>IF($D202="","",IFERROR(IF(INDEX(INVENTARIO!$O$7:$O$26,MATCH($D202,INVENTARIO!$B$7:$B$26,0))="",CFG_WALMART,INDEX(INVENTARIO!$O$7:$O$26,MATCH($D202,INVENTARIO!$B$7:$B$26,0))),CFG_WALMART))</f>
        <v/>
      </c>
      <c r="K202" s="112">
        <f>IF($D202="","",$I202*$J202)</f>
        <v/>
      </c>
      <c r="L202" s="129" t="n"/>
      <c r="M202" s="114">
        <f>IF($D202="","",$I202-$K202-N($L202))</f>
        <v/>
      </c>
      <c r="N202" s="113">
        <f>IF($D202="","",IFERROR(INDEX(INVENTARIO!$L$7:$L$26,MATCH($D202,INVENTARIO!$B$7:$B$26,0))*1,0))</f>
        <v/>
      </c>
      <c r="O202" s="112">
        <f>IF($D202="","",N($F202)*$N202)</f>
        <v/>
      </c>
      <c r="P202" s="114">
        <f>IF($D202="","",$M202-$O202)</f>
        <v/>
      </c>
      <c r="Q202" s="115">
        <f>IF($D202="","",IF($I202&gt;0,$P202/$I202,""))</f>
        <v/>
      </c>
      <c r="R202" s="127" t="n"/>
    </row>
    <row r="203">
      <c r="B203" s="130" t="n"/>
      <c r="C203" s="100" t="n"/>
      <c r="D203" s="100" t="n"/>
      <c r="E203" s="96">
        <f>IF($D203="","",IFERROR(INDEX(INVENTARIO!$C$7:$C$26,MATCH($D203,INVENTARIO!$B$7:$B$26,0)),"⚠ ID no existe"))</f>
        <v/>
      </c>
      <c r="F203" s="128" t="n"/>
      <c r="G203" s="129" t="n"/>
      <c r="H203" s="112">
        <f>IF($D203="","",IF($G203="",IFERROR(INDEX(INVENTARIO!$N$7:$N$26,MATCH($D203,INVENTARIO!$B$7:$B$26,0)),""),$G203))</f>
        <v/>
      </c>
      <c r="I203" s="114">
        <f>IF($D203="","",N($F203)*IF(ISNUMBER($H203),$H203,0))</f>
        <v/>
      </c>
      <c r="J203" s="115">
        <f>IF($D203="","",IFERROR(IF(INDEX(INVENTARIO!$O$7:$O$26,MATCH($D203,INVENTARIO!$B$7:$B$26,0))="",CFG_WALMART,INDEX(INVENTARIO!$O$7:$O$26,MATCH($D203,INVENTARIO!$B$7:$B$26,0))),CFG_WALMART))</f>
        <v/>
      </c>
      <c r="K203" s="112">
        <f>IF($D203="","",$I203*$J203)</f>
        <v/>
      </c>
      <c r="L203" s="129" t="n"/>
      <c r="M203" s="114">
        <f>IF($D203="","",$I203-$K203-N($L203))</f>
        <v/>
      </c>
      <c r="N203" s="113">
        <f>IF($D203="","",IFERROR(INDEX(INVENTARIO!$L$7:$L$26,MATCH($D203,INVENTARIO!$B$7:$B$26,0))*1,0))</f>
        <v/>
      </c>
      <c r="O203" s="112">
        <f>IF($D203="","",N($F203)*$N203)</f>
        <v/>
      </c>
      <c r="P203" s="114">
        <f>IF($D203="","",$M203-$O203)</f>
        <v/>
      </c>
      <c r="Q203" s="115">
        <f>IF($D203="","",IF($I203&gt;0,$P203/$I203,""))</f>
        <v/>
      </c>
      <c r="R203" s="127" t="n"/>
    </row>
    <row r="204">
      <c r="B204" s="130" t="n"/>
      <c r="C204" s="100" t="n"/>
      <c r="D204" s="100" t="n"/>
      <c r="E204" s="96">
        <f>IF($D204="","",IFERROR(INDEX(INVENTARIO!$C$7:$C$26,MATCH($D204,INVENTARIO!$B$7:$B$26,0)),"⚠ ID no existe"))</f>
        <v/>
      </c>
      <c r="F204" s="128" t="n"/>
      <c r="G204" s="129" t="n"/>
      <c r="H204" s="112">
        <f>IF($D204="","",IF($G204="",IFERROR(INDEX(INVENTARIO!$N$7:$N$26,MATCH($D204,INVENTARIO!$B$7:$B$26,0)),""),$G204))</f>
        <v/>
      </c>
      <c r="I204" s="114">
        <f>IF($D204="","",N($F204)*IF(ISNUMBER($H204),$H204,0))</f>
        <v/>
      </c>
      <c r="J204" s="115">
        <f>IF($D204="","",IFERROR(IF(INDEX(INVENTARIO!$O$7:$O$26,MATCH($D204,INVENTARIO!$B$7:$B$26,0))="",CFG_WALMART,INDEX(INVENTARIO!$O$7:$O$26,MATCH($D204,INVENTARIO!$B$7:$B$26,0))),CFG_WALMART))</f>
        <v/>
      </c>
      <c r="K204" s="112">
        <f>IF($D204="","",$I204*$J204)</f>
        <v/>
      </c>
      <c r="L204" s="129" t="n"/>
      <c r="M204" s="114">
        <f>IF($D204="","",$I204-$K204-N($L204))</f>
        <v/>
      </c>
      <c r="N204" s="113">
        <f>IF($D204="","",IFERROR(INDEX(INVENTARIO!$L$7:$L$26,MATCH($D204,INVENTARIO!$B$7:$B$26,0))*1,0))</f>
        <v/>
      </c>
      <c r="O204" s="112">
        <f>IF($D204="","",N($F204)*$N204)</f>
        <v/>
      </c>
      <c r="P204" s="114">
        <f>IF($D204="","",$M204-$O204)</f>
        <v/>
      </c>
      <c r="Q204" s="115">
        <f>IF($D204="","",IF($I204&gt;0,$P204/$I204,""))</f>
        <v/>
      </c>
      <c r="R204" s="127" t="n"/>
    </row>
    <row r="205">
      <c r="B205" s="130" t="n"/>
      <c r="C205" s="100" t="n"/>
      <c r="D205" s="100" t="n"/>
      <c r="E205" s="96">
        <f>IF($D205="","",IFERROR(INDEX(INVENTARIO!$C$7:$C$26,MATCH($D205,INVENTARIO!$B$7:$B$26,0)),"⚠ ID no existe"))</f>
        <v/>
      </c>
      <c r="F205" s="128" t="n"/>
      <c r="G205" s="129" t="n"/>
      <c r="H205" s="112">
        <f>IF($D205="","",IF($G205="",IFERROR(INDEX(INVENTARIO!$N$7:$N$26,MATCH($D205,INVENTARIO!$B$7:$B$26,0)),""),$G205))</f>
        <v/>
      </c>
      <c r="I205" s="114">
        <f>IF($D205="","",N($F205)*IF(ISNUMBER($H205),$H205,0))</f>
        <v/>
      </c>
      <c r="J205" s="115">
        <f>IF($D205="","",IFERROR(IF(INDEX(INVENTARIO!$O$7:$O$26,MATCH($D205,INVENTARIO!$B$7:$B$26,0))="",CFG_WALMART,INDEX(INVENTARIO!$O$7:$O$26,MATCH($D205,INVENTARIO!$B$7:$B$26,0))),CFG_WALMART))</f>
        <v/>
      </c>
      <c r="K205" s="112">
        <f>IF($D205="","",$I205*$J205)</f>
        <v/>
      </c>
      <c r="L205" s="129" t="n"/>
      <c r="M205" s="114">
        <f>IF($D205="","",$I205-$K205-N($L205))</f>
        <v/>
      </c>
      <c r="N205" s="113">
        <f>IF($D205="","",IFERROR(INDEX(INVENTARIO!$L$7:$L$26,MATCH($D205,INVENTARIO!$B$7:$B$26,0))*1,0))</f>
        <v/>
      </c>
      <c r="O205" s="112">
        <f>IF($D205="","",N($F205)*$N205)</f>
        <v/>
      </c>
      <c r="P205" s="114">
        <f>IF($D205="","",$M205-$O205)</f>
        <v/>
      </c>
      <c r="Q205" s="115">
        <f>IF($D205="","",IF($I205&gt;0,$P205/$I205,""))</f>
        <v/>
      </c>
      <c r="R205" s="127" t="n"/>
    </row>
    <row r="206">
      <c r="B206" s="130" t="n"/>
      <c r="C206" s="100" t="n"/>
      <c r="D206" s="100" t="n"/>
      <c r="E206" s="96">
        <f>IF($D206="","",IFERROR(INDEX(INVENTARIO!$C$7:$C$26,MATCH($D206,INVENTARIO!$B$7:$B$26,0)),"⚠ ID no existe"))</f>
        <v/>
      </c>
      <c r="F206" s="128" t="n"/>
      <c r="G206" s="129" t="n"/>
      <c r="H206" s="112">
        <f>IF($D206="","",IF($G206="",IFERROR(INDEX(INVENTARIO!$N$7:$N$26,MATCH($D206,INVENTARIO!$B$7:$B$26,0)),""),$G206))</f>
        <v/>
      </c>
      <c r="I206" s="114">
        <f>IF($D206="","",N($F206)*IF(ISNUMBER($H206),$H206,0))</f>
        <v/>
      </c>
      <c r="J206" s="115">
        <f>IF($D206="","",IFERROR(IF(INDEX(INVENTARIO!$O$7:$O$26,MATCH($D206,INVENTARIO!$B$7:$B$26,0))="",CFG_WALMART,INDEX(INVENTARIO!$O$7:$O$26,MATCH($D206,INVENTARIO!$B$7:$B$26,0))),CFG_WALMART))</f>
        <v/>
      </c>
      <c r="K206" s="112">
        <f>IF($D206="","",$I206*$J206)</f>
        <v/>
      </c>
      <c r="L206" s="129" t="n"/>
      <c r="M206" s="114">
        <f>IF($D206="","",$I206-$K206-N($L206))</f>
        <v/>
      </c>
      <c r="N206" s="113">
        <f>IF($D206="","",IFERROR(INDEX(INVENTARIO!$L$7:$L$26,MATCH($D206,INVENTARIO!$B$7:$B$26,0))*1,0))</f>
        <v/>
      </c>
      <c r="O206" s="112">
        <f>IF($D206="","",N($F206)*$N206)</f>
        <v/>
      </c>
      <c r="P206" s="114">
        <f>IF($D206="","",$M206-$O206)</f>
        <v/>
      </c>
      <c r="Q206" s="115">
        <f>IF($D206="","",IF($I206&gt;0,$P206/$I206,""))</f>
        <v/>
      </c>
      <c r="R206" s="127" t="n"/>
    </row>
    <row r="207">
      <c r="B207" s="130" t="n"/>
      <c r="C207" s="100" t="n"/>
      <c r="D207" s="100" t="n"/>
      <c r="E207" s="96">
        <f>IF($D207="","",IFERROR(INDEX(INVENTARIO!$C$7:$C$26,MATCH($D207,INVENTARIO!$B$7:$B$26,0)),"⚠ ID no existe"))</f>
        <v/>
      </c>
      <c r="F207" s="128" t="n"/>
      <c r="G207" s="129" t="n"/>
      <c r="H207" s="112">
        <f>IF($D207="","",IF($G207="",IFERROR(INDEX(INVENTARIO!$N$7:$N$26,MATCH($D207,INVENTARIO!$B$7:$B$26,0)),""),$G207))</f>
        <v/>
      </c>
      <c r="I207" s="114">
        <f>IF($D207="","",N($F207)*IF(ISNUMBER($H207),$H207,0))</f>
        <v/>
      </c>
      <c r="J207" s="115">
        <f>IF($D207="","",IFERROR(IF(INDEX(INVENTARIO!$O$7:$O$26,MATCH($D207,INVENTARIO!$B$7:$B$26,0))="",CFG_WALMART,INDEX(INVENTARIO!$O$7:$O$26,MATCH($D207,INVENTARIO!$B$7:$B$26,0))),CFG_WALMART))</f>
        <v/>
      </c>
      <c r="K207" s="112">
        <f>IF($D207="","",$I207*$J207)</f>
        <v/>
      </c>
      <c r="L207" s="129" t="n"/>
      <c r="M207" s="114">
        <f>IF($D207="","",$I207-$K207-N($L207))</f>
        <v/>
      </c>
      <c r="N207" s="113">
        <f>IF($D207="","",IFERROR(INDEX(INVENTARIO!$L$7:$L$26,MATCH($D207,INVENTARIO!$B$7:$B$26,0))*1,0))</f>
        <v/>
      </c>
      <c r="O207" s="112">
        <f>IF($D207="","",N($F207)*$N207)</f>
        <v/>
      </c>
      <c r="P207" s="114">
        <f>IF($D207="","",$M207-$O207)</f>
        <v/>
      </c>
      <c r="Q207" s="115">
        <f>IF($D207="","",IF($I207&gt;0,$P207/$I207,""))</f>
        <v/>
      </c>
      <c r="R207" s="127" t="n"/>
    </row>
    <row r="208">
      <c r="B208" s="130" t="n"/>
      <c r="C208" s="100" t="n"/>
      <c r="D208" s="100" t="n"/>
      <c r="E208" s="96">
        <f>IF($D208="","",IFERROR(INDEX(INVENTARIO!$C$7:$C$26,MATCH($D208,INVENTARIO!$B$7:$B$26,0)),"⚠ ID no existe"))</f>
        <v/>
      </c>
      <c r="F208" s="128" t="n"/>
      <c r="G208" s="129" t="n"/>
      <c r="H208" s="112">
        <f>IF($D208="","",IF($G208="",IFERROR(INDEX(INVENTARIO!$N$7:$N$26,MATCH($D208,INVENTARIO!$B$7:$B$26,0)),""),$G208))</f>
        <v/>
      </c>
      <c r="I208" s="114">
        <f>IF($D208="","",N($F208)*IF(ISNUMBER($H208),$H208,0))</f>
        <v/>
      </c>
      <c r="J208" s="115">
        <f>IF($D208="","",IFERROR(IF(INDEX(INVENTARIO!$O$7:$O$26,MATCH($D208,INVENTARIO!$B$7:$B$26,0))="",CFG_WALMART,INDEX(INVENTARIO!$O$7:$O$26,MATCH($D208,INVENTARIO!$B$7:$B$26,0))),CFG_WALMART))</f>
        <v/>
      </c>
      <c r="K208" s="112">
        <f>IF($D208="","",$I208*$J208)</f>
        <v/>
      </c>
      <c r="L208" s="129" t="n"/>
      <c r="M208" s="114">
        <f>IF($D208="","",$I208-$K208-N($L208))</f>
        <v/>
      </c>
      <c r="N208" s="113">
        <f>IF($D208="","",IFERROR(INDEX(INVENTARIO!$L$7:$L$26,MATCH($D208,INVENTARIO!$B$7:$B$26,0))*1,0))</f>
        <v/>
      </c>
      <c r="O208" s="112">
        <f>IF($D208="","",N($F208)*$N208)</f>
        <v/>
      </c>
      <c r="P208" s="114">
        <f>IF($D208="","",$M208-$O208)</f>
        <v/>
      </c>
      <c r="Q208" s="115">
        <f>IF($D208="","",IF($I208&gt;0,$P208/$I208,""))</f>
        <v/>
      </c>
      <c r="R208" s="127" t="n"/>
    </row>
    <row r="209">
      <c r="B209" s="130" t="n"/>
      <c r="C209" s="100" t="n"/>
      <c r="D209" s="100" t="n"/>
      <c r="E209" s="96">
        <f>IF($D209="","",IFERROR(INDEX(INVENTARIO!$C$7:$C$26,MATCH($D209,INVENTARIO!$B$7:$B$26,0)),"⚠ ID no existe"))</f>
        <v/>
      </c>
      <c r="F209" s="128" t="n"/>
      <c r="G209" s="129" t="n"/>
      <c r="H209" s="112">
        <f>IF($D209="","",IF($G209="",IFERROR(INDEX(INVENTARIO!$N$7:$N$26,MATCH($D209,INVENTARIO!$B$7:$B$26,0)),""),$G209))</f>
        <v/>
      </c>
      <c r="I209" s="114">
        <f>IF($D209="","",N($F209)*IF(ISNUMBER($H209),$H209,0))</f>
        <v/>
      </c>
      <c r="J209" s="115">
        <f>IF($D209="","",IFERROR(IF(INDEX(INVENTARIO!$O$7:$O$26,MATCH($D209,INVENTARIO!$B$7:$B$26,0))="",CFG_WALMART,INDEX(INVENTARIO!$O$7:$O$26,MATCH($D209,INVENTARIO!$B$7:$B$26,0))),CFG_WALMART))</f>
        <v/>
      </c>
      <c r="K209" s="112">
        <f>IF($D209="","",$I209*$J209)</f>
        <v/>
      </c>
      <c r="L209" s="129" t="n"/>
      <c r="M209" s="114">
        <f>IF($D209="","",$I209-$K209-N($L209))</f>
        <v/>
      </c>
      <c r="N209" s="113">
        <f>IF($D209="","",IFERROR(INDEX(INVENTARIO!$L$7:$L$26,MATCH($D209,INVENTARIO!$B$7:$B$26,0))*1,0))</f>
        <v/>
      </c>
      <c r="O209" s="112">
        <f>IF($D209="","",N($F209)*$N209)</f>
        <v/>
      </c>
      <c r="P209" s="114">
        <f>IF($D209="","",$M209-$O209)</f>
        <v/>
      </c>
      <c r="Q209" s="115">
        <f>IF($D209="","",IF($I209&gt;0,$P209/$I209,""))</f>
        <v/>
      </c>
      <c r="R209" s="127" t="n"/>
    </row>
    <row r="210">
      <c r="B210" s="130" t="n"/>
      <c r="C210" s="100" t="n"/>
      <c r="D210" s="100" t="n"/>
      <c r="E210" s="96">
        <f>IF($D210="","",IFERROR(INDEX(INVENTARIO!$C$7:$C$26,MATCH($D210,INVENTARIO!$B$7:$B$26,0)),"⚠ ID no existe"))</f>
        <v/>
      </c>
      <c r="F210" s="128" t="n"/>
      <c r="G210" s="129" t="n"/>
      <c r="H210" s="112">
        <f>IF($D210="","",IF($G210="",IFERROR(INDEX(INVENTARIO!$N$7:$N$26,MATCH($D210,INVENTARIO!$B$7:$B$26,0)),""),$G210))</f>
        <v/>
      </c>
      <c r="I210" s="114">
        <f>IF($D210="","",N($F210)*IF(ISNUMBER($H210),$H210,0))</f>
        <v/>
      </c>
      <c r="J210" s="115">
        <f>IF($D210="","",IFERROR(IF(INDEX(INVENTARIO!$O$7:$O$26,MATCH($D210,INVENTARIO!$B$7:$B$26,0))="",CFG_WALMART,INDEX(INVENTARIO!$O$7:$O$26,MATCH($D210,INVENTARIO!$B$7:$B$26,0))),CFG_WALMART))</f>
        <v/>
      </c>
      <c r="K210" s="112">
        <f>IF($D210="","",$I210*$J210)</f>
        <v/>
      </c>
      <c r="L210" s="129" t="n"/>
      <c r="M210" s="114">
        <f>IF($D210="","",$I210-$K210-N($L210))</f>
        <v/>
      </c>
      <c r="N210" s="113">
        <f>IF($D210="","",IFERROR(INDEX(INVENTARIO!$L$7:$L$26,MATCH($D210,INVENTARIO!$B$7:$B$26,0))*1,0))</f>
        <v/>
      </c>
      <c r="O210" s="112">
        <f>IF($D210="","",N($F210)*$N210)</f>
        <v/>
      </c>
      <c r="P210" s="114">
        <f>IF($D210="","",$M210-$O210)</f>
        <v/>
      </c>
      <c r="Q210" s="115">
        <f>IF($D210="","",IF($I210&gt;0,$P210/$I210,""))</f>
        <v/>
      </c>
      <c r="R210" s="127" t="n"/>
    </row>
    <row r="211">
      <c r="B211" s="130" t="n"/>
      <c r="C211" s="100" t="n"/>
      <c r="D211" s="100" t="n"/>
      <c r="E211" s="96">
        <f>IF($D211="","",IFERROR(INDEX(INVENTARIO!$C$7:$C$26,MATCH($D211,INVENTARIO!$B$7:$B$26,0)),"⚠ ID no existe"))</f>
        <v/>
      </c>
      <c r="F211" s="128" t="n"/>
      <c r="G211" s="129" t="n"/>
      <c r="H211" s="112">
        <f>IF($D211="","",IF($G211="",IFERROR(INDEX(INVENTARIO!$N$7:$N$26,MATCH($D211,INVENTARIO!$B$7:$B$26,0)),""),$G211))</f>
        <v/>
      </c>
      <c r="I211" s="114">
        <f>IF($D211="","",N($F211)*IF(ISNUMBER($H211),$H211,0))</f>
        <v/>
      </c>
      <c r="J211" s="115">
        <f>IF($D211="","",IFERROR(IF(INDEX(INVENTARIO!$O$7:$O$26,MATCH($D211,INVENTARIO!$B$7:$B$26,0))="",CFG_WALMART,INDEX(INVENTARIO!$O$7:$O$26,MATCH($D211,INVENTARIO!$B$7:$B$26,0))),CFG_WALMART))</f>
        <v/>
      </c>
      <c r="K211" s="112">
        <f>IF($D211="","",$I211*$J211)</f>
        <v/>
      </c>
      <c r="L211" s="129" t="n"/>
      <c r="M211" s="114">
        <f>IF($D211="","",$I211-$K211-N($L211))</f>
        <v/>
      </c>
      <c r="N211" s="113">
        <f>IF($D211="","",IFERROR(INDEX(INVENTARIO!$L$7:$L$26,MATCH($D211,INVENTARIO!$B$7:$B$26,0))*1,0))</f>
        <v/>
      </c>
      <c r="O211" s="112">
        <f>IF($D211="","",N($F211)*$N211)</f>
        <v/>
      </c>
      <c r="P211" s="114">
        <f>IF($D211="","",$M211-$O211)</f>
        <v/>
      </c>
      <c r="Q211" s="115">
        <f>IF($D211="","",IF($I211&gt;0,$P211/$I211,""))</f>
        <v/>
      </c>
      <c r="R211" s="127" t="n"/>
    </row>
    <row r="212">
      <c r="B212" s="130" t="n"/>
      <c r="C212" s="100" t="n"/>
      <c r="D212" s="100" t="n"/>
      <c r="E212" s="96">
        <f>IF($D212="","",IFERROR(INDEX(INVENTARIO!$C$7:$C$26,MATCH($D212,INVENTARIO!$B$7:$B$26,0)),"⚠ ID no existe"))</f>
        <v/>
      </c>
      <c r="F212" s="128" t="n"/>
      <c r="G212" s="129" t="n"/>
      <c r="H212" s="112">
        <f>IF($D212="","",IF($G212="",IFERROR(INDEX(INVENTARIO!$N$7:$N$26,MATCH($D212,INVENTARIO!$B$7:$B$26,0)),""),$G212))</f>
        <v/>
      </c>
      <c r="I212" s="114">
        <f>IF($D212="","",N($F212)*IF(ISNUMBER($H212),$H212,0))</f>
        <v/>
      </c>
      <c r="J212" s="115">
        <f>IF($D212="","",IFERROR(IF(INDEX(INVENTARIO!$O$7:$O$26,MATCH($D212,INVENTARIO!$B$7:$B$26,0))="",CFG_WALMART,INDEX(INVENTARIO!$O$7:$O$26,MATCH($D212,INVENTARIO!$B$7:$B$26,0))),CFG_WALMART))</f>
        <v/>
      </c>
      <c r="K212" s="112">
        <f>IF($D212="","",$I212*$J212)</f>
        <v/>
      </c>
      <c r="L212" s="129" t="n"/>
      <c r="M212" s="114">
        <f>IF($D212="","",$I212-$K212-N($L212))</f>
        <v/>
      </c>
      <c r="N212" s="113">
        <f>IF($D212="","",IFERROR(INDEX(INVENTARIO!$L$7:$L$26,MATCH($D212,INVENTARIO!$B$7:$B$26,0))*1,0))</f>
        <v/>
      </c>
      <c r="O212" s="112">
        <f>IF($D212="","",N($F212)*$N212)</f>
        <v/>
      </c>
      <c r="P212" s="114">
        <f>IF($D212="","",$M212-$O212)</f>
        <v/>
      </c>
      <c r="Q212" s="115">
        <f>IF($D212="","",IF($I212&gt;0,$P212/$I212,""))</f>
        <v/>
      </c>
      <c r="R212" s="127" t="n"/>
    </row>
    <row r="213">
      <c r="B213" s="130" t="n"/>
      <c r="C213" s="100" t="n"/>
      <c r="D213" s="100" t="n"/>
      <c r="E213" s="96">
        <f>IF($D213="","",IFERROR(INDEX(INVENTARIO!$C$7:$C$26,MATCH($D213,INVENTARIO!$B$7:$B$26,0)),"⚠ ID no existe"))</f>
        <v/>
      </c>
      <c r="F213" s="128" t="n"/>
      <c r="G213" s="129" t="n"/>
      <c r="H213" s="112">
        <f>IF($D213="","",IF($G213="",IFERROR(INDEX(INVENTARIO!$N$7:$N$26,MATCH($D213,INVENTARIO!$B$7:$B$26,0)),""),$G213))</f>
        <v/>
      </c>
      <c r="I213" s="114">
        <f>IF($D213="","",N($F213)*IF(ISNUMBER($H213),$H213,0))</f>
        <v/>
      </c>
      <c r="J213" s="115">
        <f>IF($D213="","",IFERROR(IF(INDEX(INVENTARIO!$O$7:$O$26,MATCH($D213,INVENTARIO!$B$7:$B$26,0))="",CFG_WALMART,INDEX(INVENTARIO!$O$7:$O$26,MATCH($D213,INVENTARIO!$B$7:$B$26,0))),CFG_WALMART))</f>
        <v/>
      </c>
      <c r="K213" s="112">
        <f>IF($D213="","",$I213*$J213)</f>
        <v/>
      </c>
      <c r="L213" s="129" t="n"/>
      <c r="M213" s="114">
        <f>IF($D213="","",$I213-$K213-N($L213))</f>
        <v/>
      </c>
      <c r="N213" s="113">
        <f>IF($D213="","",IFERROR(INDEX(INVENTARIO!$L$7:$L$26,MATCH($D213,INVENTARIO!$B$7:$B$26,0))*1,0))</f>
        <v/>
      </c>
      <c r="O213" s="112">
        <f>IF($D213="","",N($F213)*$N213)</f>
        <v/>
      </c>
      <c r="P213" s="114">
        <f>IF($D213="","",$M213-$O213)</f>
        <v/>
      </c>
      <c r="Q213" s="115">
        <f>IF($D213="","",IF($I213&gt;0,$P213/$I213,""))</f>
        <v/>
      </c>
      <c r="R213" s="127" t="n"/>
    </row>
    <row r="214">
      <c r="B214" s="130" t="n"/>
      <c r="C214" s="100" t="n"/>
      <c r="D214" s="100" t="n"/>
      <c r="E214" s="96">
        <f>IF($D214="","",IFERROR(INDEX(INVENTARIO!$C$7:$C$26,MATCH($D214,INVENTARIO!$B$7:$B$26,0)),"⚠ ID no existe"))</f>
        <v/>
      </c>
      <c r="F214" s="128" t="n"/>
      <c r="G214" s="129" t="n"/>
      <c r="H214" s="112">
        <f>IF($D214="","",IF($G214="",IFERROR(INDEX(INVENTARIO!$N$7:$N$26,MATCH($D214,INVENTARIO!$B$7:$B$26,0)),""),$G214))</f>
        <v/>
      </c>
      <c r="I214" s="114">
        <f>IF($D214="","",N($F214)*IF(ISNUMBER($H214),$H214,0))</f>
        <v/>
      </c>
      <c r="J214" s="115">
        <f>IF($D214="","",IFERROR(IF(INDEX(INVENTARIO!$O$7:$O$26,MATCH($D214,INVENTARIO!$B$7:$B$26,0))="",CFG_WALMART,INDEX(INVENTARIO!$O$7:$O$26,MATCH($D214,INVENTARIO!$B$7:$B$26,0))),CFG_WALMART))</f>
        <v/>
      </c>
      <c r="K214" s="112">
        <f>IF($D214="","",$I214*$J214)</f>
        <v/>
      </c>
      <c r="L214" s="129" t="n"/>
      <c r="M214" s="114">
        <f>IF($D214="","",$I214-$K214-N($L214))</f>
        <v/>
      </c>
      <c r="N214" s="113">
        <f>IF($D214="","",IFERROR(INDEX(INVENTARIO!$L$7:$L$26,MATCH($D214,INVENTARIO!$B$7:$B$26,0))*1,0))</f>
        <v/>
      </c>
      <c r="O214" s="112">
        <f>IF($D214="","",N($F214)*$N214)</f>
        <v/>
      </c>
      <c r="P214" s="114">
        <f>IF($D214="","",$M214-$O214)</f>
        <v/>
      </c>
      <c r="Q214" s="115">
        <f>IF($D214="","",IF($I214&gt;0,$P214/$I214,""))</f>
        <v/>
      </c>
      <c r="R214" s="127" t="n"/>
    </row>
    <row r="215">
      <c r="B215" s="130" t="n"/>
      <c r="C215" s="100" t="n"/>
      <c r="D215" s="100" t="n"/>
      <c r="E215" s="96">
        <f>IF($D215="","",IFERROR(INDEX(INVENTARIO!$C$7:$C$26,MATCH($D215,INVENTARIO!$B$7:$B$26,0)),"⚠ ID no existe"))</f>
        <v/>
      </c>
      <c r="F215" s="128" t="n"/>
      <c r="G215" s="129" t="n"/>
      <c r="H215" s="112">
        <f>IF($D215="","",IF($G215="",IFERROR(INDEX(INVENTARIO!$N$7:$N$26,MATCH($D215,INVENTARIO!$B$7:$B$26,0)),""),$G215))</f>
        <v/>
      </c>
      <c r="I215" s="114">
        <f>IF($D215="","",N($F215)*IF(ISNUMBER($H215),$H215,0))</f>
        <v/>
      </c>
      <c r="J215" s="115">
        <f>IF($D215="","",IFERROR(IF(INDEX(INVENTARIO!$O$7:$O$26,MATCH($D215,INVENTARIO!$B$7:$B$26,0))="",CFG_WALMART,INDEX(INVENTARIO!$O$7:$O$26,MATCH($D215,INVENTARIO!$B$7:$B$26,0))),CFG_WALMART))</f>
        <v/>
      </c>
      <c r="K215" s="112">
        <f>IF($D215="","",$I215*$J215)</f>
        <v/>
      </c>
      <c r="L215" s="129" t="n"/>
      <c r="M215" s="114">
        <f>IF($D215="","",$I215-$K215-N($L215))</f>
        <v/>
      </c>
      <c r="N215" s="113">
        <f>IF($D215="","",IFERROR(INDEX(INVENTARIO!$L$7:$L$26,MATCH($D215,INVENTARIO!$B$7:$B$26,0))*1,0))</f>
        <v/>
      </c>
      <c r="O215" s="112">
        <f>IF($D215="","",N($F215)*$N215)</f>
        <v/>
      </c>
      <c r="P215" s="114">
        <f>IF($D215="","",$M215-$O215)</f>
        <v/>
      </c>
      <c r="Q215" s="115">
        <f>IF($D215="","",IF($I215&gt;0,$P215/$I215,""))</f>
        <v/>
      </c>
      <c r="R215" s="127" t="n"/>
    </row>
    <row r="216">
      <c r="B216" s="130" t="n"/>
      <c r="C216" s="100" t="n"/>
      <c r="D216" s="100" t="n"/>
      <c r="E216" s="96">
        <f>IF($D216="","",IFERROR(INDEX(INVENTARIO!$C$7:$C$26,MATCH($D216,INVENTARIO!$B$7:$B$26,0)),"⚠ ID no existe"))</f>
        <v/>
      </c>
      <c r="F216" s="128" t="n"/>
      <c r="G216" s="129" t="n"/>
      <c r="H216" s="112">
        <f>IF($D216="","",IF($G216="",IFERROR(INDEX(INVENTARIO!$N$7:$N$26,MATCH($D216,INVENTARIO!$B$7:$B$26,0)),""),$G216))</f>
        <v/>
      </c>
      <c r="I216" s="114">
        <f>IF($D216="","",N($F216)*IF(ISNUMBER($H216),$H216,0))</f>
        <v/>
      </c>
      <c r="J216" s="115">
        <f>IF($D216="","",IFERROR(IF(INDEX(INVENTARIO!$O$7:$O$26,MATCH($D216,INVENTARIO!$B$7:$B$26,0))="",CFG_WALMART,INDEX(INVENTARIO!$O$7:$O$26,MATCH($D216,INVENTARIO!$B$7:$B$26,0))),CFG_WALMART))</f>
        <v/>
      </c>
      <c r="K216" s="112">
        <f>IF($D216="","",$I216*$J216)</f>
        <v/>
      </c>
      <c r="L216" s="129" t="n"/>
      <c r="M216" s="114">
        <f>IF($D216="","",$I216-$K216-N($L216))</f>
        <v/>
      </c>
      <c r="N216" s="113">
        <f>IF($D216="","",IFERROR(INDEX(INVENTARIO!$L$7:$L$26,MATCH($D216,INVENTARIO!$B$7:$B$26,0))*1,0))</f>
        <v/>
      </c>
      <c r="O216" s="112">
        <f>IF($D216="","",N($F216)*$N216)</f>
        <v/>
      </c>
      <c r="P216" s="114">
        <f>IF($D216="","",$M216-$O216)</f>
        <v/>
      </c>
      <c r="Q216" s="115">
        <f>IF($D216="","",IF($I216&gt;0,$P216/$I216,""))</f>
        <v/>
      </c>
      <c r="R216" s="127" t="n"/>
    </row>
    <row r="217">
      <c r="B217" s="130" t="n"/>
      <c r="C217" s="100" t="n"/>
      <c r="D217" s="100" t="n"/>
      <c r="E217" s="96">
        <f>IF($D217="","",IFERROR(INDEX(INVENTARIO!$C$7:$C$26,MATCH($D217,INVENTARIO!$B$7:$B$26,0)),"⚠ ID no existe"))</f>
        <v/>
      </c>
      <c r="F217" s="128" t="n"/>
      <c r="G217" s="129" t="n"/>
      <c r="H217" s="112">
        <f>IF($D217="","",IF($G217="",IFERROR(INDEX(INVENTARIO!$N$7:$N$26,MATCH($D217,INVENTARIO!$B$7:$B$26,0)),""),$G217))</f>
        <v/>
      </c>
      <c r="I217" s="114">
        <f>IF($D217="","",N($F217)*IF(ISNUMBER($H217),$H217,0))</f>
        <v/>
      </c>
      <c r="J217" s="115">
        <f>IF($D217="","",IFERROR(IF(INDEX(INVENTARIO!$O$7:$O$26,MATCH($D217,INVENTARIO!$B$7:$B$26,0))="",CFG_WALMART,INDEX(INVENTARIO!$O$7:$O$26,MATCH($D217,INVENTARIO!$B$7:$B$26,0))),CFG_WALMART))</f>
        <v/>
      </c>
      <c r="K217" s="112">
        <f>IF($D217="","",$I217*$J217)</f>
        <v/>
      </c>
      <c r="L217" s="129" t="n"/>
      <c r="M217" s="114">
        <f>IF($D217="","",$I217-$K217-N($L217))</f>
        <v/>
      </c>
      <c r="N217" s="113">
        <f>IF($D217="","",IFERROR(INDEX(INVENTARIO!$L$7:$L$26,MATCH($D217,INVENTARIO!$B$7:$B$26,0))*1,0))</f>
        <v/>
      </c>
      <c r="O217" s="112">
        <f>IF($D217="","",N($F217)*$N217)</f>
        <v/>
      </c>
      <c r="P217" s="114">
        <f>IF($D217="","",$M217-$O217)</f>
        <v/>
      </c>
      <c r="Q217" s="115">
        <f>IF($D217="","",IF($I217&gt;0,$P217/$I217,""))</f>
        <v/>
      </c>
      <c r="R217" s="127" t="n"/>
    </row>
    <row r="218">
      <c r="B218" s="130" t="n"/>
      <c r="C218" s="100" t="n"/>
      <c r="D218" s="100" t="n"/>
      <c r="E218" s="96">
        <f>IF($D218="","",IFERROR(INDEX(INVENTARIO!$C$7:$C$26,MATCH($D218,INVENTARIO!$B$7:$B$26,0)),"⚠ ID no existe"))</f>
        <v/>
      </c>
      <c r="F218" s="128" t="n"/>
      <c r="G218" s="129" t="n"/>
      <c r="H218" s="112">
        <f>IF($D218="","",IF($G218="",IFERROR(INDEX(INVENTARIO!$N$7:$N$26,MATCH($D218,INVENTARIO!$B$7:$B$26,0)),""),$G218))</f>
        <v/>
      </c>
      <c r="I218" s="114">
        <f>IF($D218="","",N($F218)*IF(ISNUMBER($H218),$H218,0))</f>
        <v/>
      </c>
      <c r="J218" s="115">
        <f>IF($D218="","",IFERROR(IF(INDEX(INVENTARIO!$O$7:$O$26,MATCH($D218,INVENTARIO!$B$7:$B$26,0))="",CFG_WALMART,INDEX(INVENTARIO!$O$7:$O$26,MATCH($D218,INVENTARIO!$B$7:$B$26,0))),CFG_WALMART))</f>
        <v/>
      </c>
      <c r="K218" s="112">
        <f>IF($D218="","",$I218*$J218)</f>
        <v/>
      </c>
      <c r="L218" s="129" t="n"/>
      <c r="M218" s="114">
        <f>IF($D218="","",$I218-$K218-N($L218))</f>
        <v/>
      </c>
      <c r="N218" s="113">
        <f>IF($D218="","",IFERROR(INDEX(INVENTARIO!$L$7:$L$26,MATCH($D218,INVENTARIO!$B$7:$B$26,0))*1,0))</f>
        <v/>
      </c>
      <c r="O218" s="112">
        <f>IF($D218="","",N($F218)*$N218)</f>
        <v/>
      </c>
      <c r="P218" s="114">
        <f>IF($D218="","",$M218-$O218)</f>
        <v/>
      </c>
      <c r="Q218" s="115">
        <f>IF($D218="","",IF($I218&gt;0,$P218/$I218,""))</f>
        <v/>
      </c>
      <c r="R218" s="127" t="n"/>
    </row>
    <row r="219">
      <c r="B219" s="130" t="n"/>
      <c r="C219" s="100" t="n"/>
      <c r="D219" s="100" t="n"/>
      <c r="E219" s="96">
        <f>IF($D219="","",IFERROR(INDEX(INVENTARIO!$C$7:$C$26,MATCH($D219,INVENTARIO!$B$7:$B$26,0)),"⚠ ID no existe"))</f>
        <v/>
      </c>
      <c r="F219" s="128" t="n"/>
      <c r="G219" s="129" t="n"/>
      <c r="H219" s="112">
        <f>IF($D219="","",IF($G219="",IFERROR(INDEX(INVENTARIO!$N$7:$N$26,MATCH($D219,INVENTARIO!$B$7:$B$26,0)),""),$G219))</f>
        <v/>
      </c>
      <c r="I219" s="114">
        <f>IF($D219="","",N($F219)*IF(ISNUMBER($H219),$H219,0))</f>
        <v/>
      </c>
      <c r="J219" s="115">
        <f>IF($D219="","",IFERROR(IF(INDEX(INVENTARIO!$O$7:$O$26,MATCH($D219,INVENTARIO!$B$7:$B$26,0))="",CFG_WALMART,INDEX(INVENTARIO!$O$7:$O$26,MATCH($D219,INVENTARIO!$B$7:$B$26,0))),CFG_WALMART))</f>
        <v/>
      </c>
      <c r="K219" s="112">
        <f>IF($D219="","",$I219*$J219)</f>
        <v/>
      </c>
      <c r="L219" s="129" t="n"/>
      <c r="M219" s="114">
        <f>IF($D219="","",$I219-$K219-N($L219))</f>
        <v/>
      </c>
      <c r="N219" s="113">
        <f>IF($D219="","",IFERROR(INDEX(INVENTARIO!$L$7:$L$26,MATCH($D219,INVENTARIO!$B$7:$B$26,0))*1,0))</f>
        <v/>
      </c>
      <c r="O219" s="112">
        <f>IF($D219="","",N($F219)*$N219)</f>
        <v/>
      </c>
      <c r="P219" s="114">
        <f>IF($D219="","",$M219-$O219)</f>
        <v/>
      </c>
      <c r="Q219" s="115">
        <f>IF($D219="","",IF($I219&gt;0,$P219/$I219,""))</f>
        <v/>
      </c>
      <c r="R219" s="127" t="n"/>
    </row>
    <row r="220">
      <c r="B220" s="130" t="n"/>
      <c r="C220" s="100" t="n"/>
      <c r="D220" s="100" t="n"/>
      <c r="E220" s="96">
        <f>IF($D220="","",IFERROR(INDEX(INVENTARIO!$C$7:$C$26,MATCH($D220,INVENTARIO!$B$7:$B$26,0)),"⚠ ID no existe"))</f>
        <v/>
      </c>
      <c r="F220" s="128" t="n"/>
      <c r="G220" s="129" t="n"/>
      <c r="H220" s="112">
        <f>IF($D220="","",IF($G220="",IFERROR(INDEX(INVENTARIO!$N$7:$N$26,MATCH($D220,INVENTARIO!$B$7:$B$26,0)),""),$G220))</f>
        <v/>
      </c>
      <c r="I220" s="114">
        <f>IF($D220="","",N($F220)*IF(ISNUMBER($H220),$H220,0))</f>
        <v/>
      </c>
      <c r="J220" s="115">
        <f>IF($D220="","",IFERROR(IF(INDEX(INVENTARIO!$O$7:$O$26,MATCH($D220,INVENTARIO!$B$7:$B$26,0))="",CFG_WALMART,INDEX(INVENTARIO!$O$7:$O$26,MATCH($D220,INVENTARIO!$B$7:$B$26,0))),CFG_WALMART))</f>
        <v/>
      </c>
      <c r="K220" s="112">
        <f>IF($D220="","",$I220*$J220)</f>
        <v/>
      </c>
      <c r="L220" s="129" t="n"/>
      <c r="M220" s="114">
        <f>IF($D220="","",$I220-$K220-N($L220))</f>
        <v/>
      </c>
      <c r="N220" s="113">
        <f>IF($D220="","",IFERROR(INDEX(INVENTARIO!$L$7:$L$26,MATCH($D220,INVENTARIO!$B$7:$B$26,0))*1,0))</f>
        <v/>
      </c>
      <c r="O220" s="112">
        <f>IF($D220="","",N($F220)*$N220)</f>
        <v/>
      </c>
      <c r="P220" s="114">
        <f>IF($D220="","",$M220-$O220)</f>
        <v/>
      </c>
      <c r="Q220" s="115">
        <f>IF($D220="","",IF($I220&gt;0,$P220/$I220,""))</f>
        <v/>
      </c>
      <c r="R220" s="127" t="n"/>
    </row>
    <row r="221">
      <c r="B221" s="130" t="n"/>
      <c r="C221" s="100" t="n"/>
      <c r="D221" s="100" t="n"/>
      <c r="E221" s="96">
        <f>IF($D221="","",IFERROR(INDEX(INVENTARIO!$C$7:$C$26,MATCH($D221,INVENTARIO!$B$7:$B$26,0)),"⚠ ID no existe"))</f>
        <v/>
      </c>
      <c r="F221" s="128" t="n"/>
      <c r="G221" s="129" t="n"/>
      <c r="H221" s="112">
        <f>IF($D221="","",IF($G221="",IFERROR(INDEX(INVENTARIO!$N$7:$N$26,MATCH($D221,INVENTARIO!$B$7:$B$26,0)),""),$G221))</f>
        <v/>
      </c>
      <c r="I221" s="114">
        <f>IF($D221="","",N($F221)*IF(ISNUMBER($H221),$H221,0))</f>
        <v/>
      </c>
      <c r="J221" s="115">
        <f>IF($D221="","",IFERROR(IF(INDEX(INVENTARIO!$O$7:$O$26,MATCH($D221,INVENTARIO!$B$7:$B$26,0))="",CFG_WALMART,INDEX(INVENTARIO!$O$7:$O$26,MATCH($D221,INVENTARIO!$B$7:$B$26,0))),CFG_WALMART))</f>
        <v/>
      </c>
      <c r="K221" s="112">
        <f>IF($D221="","",$I221*$J221)</f>
        <v/>
      </c>
      <c r="L221" s="129" t="n"/>
      <c r="M221" s="114">
        <f>IF($D221="","",$I221-$K221-N($L221))</f>
        <v/>
      </c>
      <c r="N221" s="113">
        <f>IF($D221="","",IFERROR(INDEX(INVENTARIO!$L$7:$L$26,MATCH($D221,INVENTARIO!$B$7:$B$26,0))*1,0))</f>
        <v/>
      </c>
      <c r="O221" s="112">
        <f>IF($D221="","",N($F221)*$N221)</f>
        <v/>
      </c>
      <c r="P221" s="114">
        <f>IF($D221="","",$M221-$O221)</f>
        <v/>
      </c>
      <c r="Q221" s="115">
        <f>IF($D221="","",IF($I221&gt;0,$P221/$I221,""))</f>
        <v/>
      </c>
      <c r="R221" s="127" t="n"/>
    </row>
    <row r="222">
      <c r="B222" s="130" t="n"/>
      <c r="C222" s="100" t="n"/>
      <c r="D222" s="100" t="n"/>
      <c r="E222" s="96">
        <f>IF($D222="","",IFERROR(INDEX(INVENTARIO!$C$7:$C$26,MATCH($D222,INVENTARIO!$B$7:$B$26,0)),"⚠ ID no existe"))</f>
        <v/>
      </c>
      <c r="F222" s="128" t="n"/>
      <c r="G222" s="129" t="n"/>
      <c r="H222" s="112">
        <f>IF($D222="","",IF($G222="",IFERROR(INDEX(INVENTARIO!$N$7:$N$26,MATCH($D222,INVENTARIO!$B$7:$B$26,0)),""),$G222))</f>
        <v/>
      </c>
      <c r="I222" s="114">
        <f>IF($D222="","",N($F222)*IF(ISNUMBER($H222),$H222,0))</f>
        <v/>
      </c>
      <c r="J222" s="115">
        <f>IF($D222="","",IFERROR(IF(INDEX(INVENTARIO!$O$7:$O$26,MATCH($D222,INVENTARIO!$B$7:$B$26,0))="",CFG_WALMART,INDEX(INVENTARIO!$O$7:$O$26,MATCH($D222,INVENTARIO!$B$7:$B$26,0))),CFG_WALMART))</f>
        <v/>
      </c>
      <c r="K222" s="112">
        <f>IF($D222="","",$I222*$J222)</f>
        <v/>
      </c>
      <c r="L222" s="129" t="n"/>
      <c r="M222" s="114">
        <f>IF($D222="","",$I222-$K222-N($L222))</f>
        <v/>
      </c>
      <c r="N222" s="113">
        <f>IF($D222="","",IFERROR(INDEX(INVENTARIO!$L$7:$L$26,MATCH($D222,INVENTARIO!$B$7:$B$26,0))*1,0))</f>
        <v/>
      </c>
      <c r="O222" s="112">
        <f>IF($D222="","",N($F222)*$N222)</f>
        <v/>
      </c>
      <c r="P222" s="114">
        <f>IF($D222="","",$M222-$O222)</f>
        <v/>
      </c>
      <c r="Q222" s="115">
        <f>IF($D222="","",IF($I222&gt;0,$P222/$I222,""))</f>
        <v/>
      </c>
      <c r="R222" s="127" t="n"/>
    </row>
    <row r="223">
      <c r="B223" s="130" t="n"/>
      <c r="C223" s="100" t="n"/>
      <c r="D223" s="100" t="n"/>
      <c r="E223" s="96">
        <f>IF($D223="","",IFERROR(INDEX(INVENTARIO!$C$7:$C$26,MATCH($D223,INVENTARIO!$B$7:$B$26,0)),"⚠ ID no existe"))</f>
        <v/>
      </c>
      <c r="F223" s="128" t="n"/>
      <c r="G223" s="129" t="n"/>
      <c r="H223" s="112">
        <f>IF($D223="","",IF($G223="",IFERROR(INDEX(INVENTARIO!$N$7:$N$26,MATCH($D223,INVENTARIO!$B$7:$B$26,0)),""),$G223))</f>
        <v/>
      </c>
      <c r="I223" s="114">
        <f>IF($D223="","",N($F223)*IF(ISNUMBER($H223),$H223,0))</f>
        <v/>
      </c>
      <c r="J223" s="115">
        <f>IF($D223="","",IFERROR(IF(INDEX(INVENTARIO!$O$7:$O$26,MATCH($D223,INVENTARIO!$B$7:$B$26,0))="",CFG_WALMART,INDEX(INVENTARIO!$O$7:$O$26,MATCH($D223,INVENTARIO!$B$7:$B$26,0))),CFG_WALMART))</f>
        <v/>
      </c>
      <c r="K223" s="112">
        <f>IF($D223="","",$I223*$J223)</f>
        <v/>
      </c>
      <c r="L223" s="129" t="n"/>
      <c r="M223" s="114">
        <f>IF($D223="","",$I223-$K223-N($L223))</f>
        <v/>
      </c>
      <c r="N223" s="113">
        <f>IF($D223="","",IFERROR(INDEX(INVENTARIO!$L$7:$L$26,MATCH($D223,INVENTARIO!$B$7:$B$26,0))*1,0))</f>
        <v/>
      </c>
      <c r="O223" s="112">
        <f>IF($D223="","",N($F223)*$N223)</f>
        <v/>
      </c>
      <c r="P223" s="114">
        <f>IF($D223="","",$M223-$O223)</f>
        <v/>
      </c>
      <c r="Q223" s="115">
        <f>IF($D223="","",IF($I223&gt;0,$P223/$I223,""))</f>
        <v/>
      </c>
      <c r="R223" s="127" t="n"/>
    </row>
    <row r="224">
      <c r="B224" s="130" t="n"/>
      <c r="C224" s="100" t="n"/>
      <c r="D224" s="100" t="n"/>
      <c r="E224" s="96">
        <f>IF($D224="","",IFERROR(INDEX(INVENTARIO!$C$7:$C$26,MATCH($D224,INVENTARIO!$B$7:$B$26,0)),"⚠ ID no existe"))</f>
        <v/>
      </c>
      <c r="F224" s="128" t="n"/>
      <c r="G224" s="129" t="n"/>
      <c r="H224" s="112">
        <f>IF($D224="","",IF($G224="",IFERROR(INDEX(INVENTARIO!$N$7:$N$26,MATCH($D224,INVENTARIO!$B$7:$B$26,0)),""),$G224))</f>
        <v/>
      </c>
      <c r="I224" s="114">
        <f>IF($D224="","",N($F224)*IF(ISNUMBER($H224),$H224,0))</f>
        <v/>
      </c>
      <c r="J224" s="115">
        <f>IF($D224="","",IFERROR(IF(INDEX(INVENTARIO!$O$7:$O$26,MATCH($D224,INVENTARIO!$B$7:$B$26,0))="",CFG_WALMART,INDEX(INVENTARIO!$O$7:$O$26,MATCH($D224,INVENTARIO!$B$7:$B$26,0))),CFG_WALMART))</f>
        <v/>
      </c>
      <c r="K224" s="112">
        <f>IF($D224="","",$I224*$J224)</f>
        <v/>
      </c>
      <c r="L224" s="129" t="n"/>
      <c r="M224" s="114">
        <f>IF($D224="","",$I224-$K224-N($L224))</f>
        <v/>
      </c>
      <c r="N224" s="113">
        <f>IF($D224="","",IFERROR(INDEX(INVENTARIO!$L$7:$L$26,MATCH($D224,INVENTARIO!$B$7:$B$26,0))*1,0))</f>
        <v/>
      </c>
      <c r="O224" s="112">
        <f>IF($D224="","",N($F224)*$N224)</f>
        <v/>
      </c>
      <c r="P224" s="114">
        <f>IF($D224="","",$M224-$O224)</f>
        <v/>
      </c>
      <c r="Q224" s="115">
        <f>IF($D224="","",IF($I224&gt;0,$P224/$I224,""))</f>
        <v/>
      </c>
      <c r="R224" s="127" t="n"/>
    </row>
    <row r="225">
      <c r="B225" s="130" t="n"/>
      <c r="C225" s="100" t="n"/>
      <c r="D225" s="100" t="n"/>
      <c r="E225" s="96">
        <f>IF($D225="","",IFERROR(INDEX(INVENTARIO!$C$7:$C$26,MATCH($D225,INVENTARIO!$B$7:$B$26,0)),"⚠ ID no existe"))</f>
        <v/>
      </c>
      <c r="F225" s="128" t="n"/>
      <c r="G225" s="129" t="n"/>
      <c r="H225" s="112">
        <f>IF($D225="","",IF($G225="",IFERROR(INDEX(INVENTARIO!$N$7:$N$26,MATCH($D225,INVENTARIO!$B$7:$B$26,0)),""),$G225))</f>
        <v/>
      </c>
      <c r="I225" s="114">
        <f>IF($D225="","",N($F225)*IF(ISNUMBER($H225),$H225,0))</f>
        <v/>
      </c>
      <c r="J225" s="115">
        <f>IF($D225="","",IFERROR(IF(INDEX(INVENTARIO!$O$7:$O$26,MATCH($D225,INVENTARIO!$B$7:$B$26,0))="",CFG_WALMART,INDEX(INVENTARIO!$O$7:$O$26,MATCH($D225,INVENTARIO!$B$7:$B$26,0))),CFG_WALMART))</f>
        <v/>
      </c>
      <c r="K225" s="112">
        <f>IF($D225="","",$I225*$J225)</f>
        <v/>
      </c>
      <c r="L225" s="129" t="n"/>
      <c r="M225" s="114">
        <f>IF($D225="","",$I225-$K225-N($L225))</f>
        <v/>
      </c>
      <c r="N225" s="113">
        <f>IF($D225="","",IFERROR(INDEX(INVENTARIO!$L$7:$L$26,MATCH($D225,INVENTARIO!$B$7:$B$26,0))*1,0))</f>
        <v/>
      </c>
      <c r="O225" s="112">
        <f>IF($D225="","",N($F225)*$N225)</f>
        <v/>
      </c>
      <c r="P225" s="114">
        <f>IF($D225="","",$M225-$O225)</f>
        <v/>
      </c>
      <c r="Q225" s="115">
        <f>IF($D225="","",IF($I225&gt;0,$P225/$I225,""))</f>
        <v/>
      </c>
      <c r="R225" s="127" t="n"/>
    </row>
    <row r="226">
      <c r="B226" s="130" t="n"/>
      <c r="C226" s="100" t="n"/>
      <c r="D226" s="100" t="n"/>
      <c r="E226" s="96">
        <f>IF($D226="","",IFERROR(INDEX(INVENTARIO!$C$7:$C$26,MATCH($D226,INVENTARIO!$B$7:$B$26,0)),"⚠ ID no existe"))</f>
        <v/>
      </c>
      <c r="F226" s="128" t="n"/>
      <c r="G226" s="129" t="n"/>
      <c r="H226" s="112">
        <f>IF($D226="","",IF($G226="",IFERROR(INDEX(INVENTARIO!$N$7:$N$26,MATCH($D226,INVENTARIO!$B$7:$B$26,0)),""),$G226))</f>
        <v/>
      </c>
      <c r="I226" s="114">
        <f>IF($D226="","",N($F226)*IF(ISNUMBER($H226),$H226,0))</f>
        <v/>
      </c>
      <c r="J226" s="115">
        <f>IF($D226="","",IFERROR(IF(INDEX(INVENTARIO!$O$7:$O$26,MATCH($D226,INVENTARIO!$B$7:$B$26,0))="",CFG_WALMART,INDEX(INVENTARIO!$O$7:$O$26,MATCH($D226,INVENTARIO!$B$7:$B$26,0))),CFG_WALMART))</f>
        <v/>
      </c>
      <c r="K226" s="112">
        <f>IF($D226="","",$I226*$J226)</f>
        <v/>
      </c>
      <c r="L226" s="129" t="n"/>
      <c r="M226" s="114">
        <f>IF($D226="","",$I226-$K226-N($L226))</f>
        <v/>
      </c>
      <c r="N226" s="113">
        <f>IF($D226="","",IFERROR(INDEX(INVENTARIO!$L$7:$L$26,MATCH($D226,INVENTARIO!$B$7:$B$26,0))*1,0))</f>
        <v/>
      </c>
      <c r="O226" s="112">
        <f>IF($D226="","",N($F226)*$N226)</f>
        <v/>
      </c>
      <c r="P226" s="114">
        <f>IF($D226="","",$M226-$O226)</f>
        <v/>
      </c>
      <c r="Q226" s="115">
        <f>IF($D226="","",IF($I226&gt;0,$P226/$I226,""))</f>
        <v/>
      </c>
      <c r="R226" s="127" t="n"/>
    </row>
    <row r="227">
      <c r="B227" s="130" t="n"/>
      <c r="C227" s="100" t="n"/>
      <c r="D227" s="100" t="n"/>
      <c r="E227" s="96">
        <f>IF($D227="","",IFERROR(INDEX(INVENTARIO!$C$7:$C$26,MATCH($D227,INVENTARIO!$B$7:$B$26,0)),"⚠ ID no existe"))</f>
        <v/>
      </c>
      <c r="F227" s="128" t="n"/>
      <c r="G227" s="129" t="n"/>
      <c r="H227" s="112">
        <f>IF($D227="","",IF($G227="",IFERROR(INDEX(INVENTARIO!$N$7:$N$26,MATCH($D227,INVENTARIO!$B$7:$B$26,0)),""),$G227))</f>
        <v/>
      </c>
      <c r="I227" s="114">
        <f>IF($D227="","",N($F227)*IF(ISNUMBER($H227),$H227,0))</f>
        <v/>
      </c>
      <c r="J227" s="115">
        <f>IF($D227="","",IFERROR(IF(INDEX(INVENTARIO!$O$7:$O$26,MATCH($D227,INVENTARIO!$B$7:$B$26,0))="",CFG_WALMART,INDEX(INVENTARIO!$O$7:$O$26,MATCH($D227,INVENTARIO!$B$7:$B$26,0))),CFG_WALMART))</f>
        <v/>
      </c>
      <c r="K227" s="112">
        <f>IF($D227="","",$I227*$J227)</f>
        <v/>
      </c>
      <c r="L227" s="129" t="n"/>
      <c r="M227" s="114">
        <f>IF($D227="","",$I227-$K227-N($L227))</f>
        <v/>
      </c>
      <c r="N227" s="113">
        <f>IF($D227="","",IFERROR(INDEX(INVENTARIO!$L$7:$L$26,MATCH($D227,INVENTARIO!$B$7:$B$26,0))*1,0))</f>
        <v/>
      </c>
      <c r="O227" s="112">
        <f>IF($D227="","",N($F227)*$N227)</f>
        <v/>
      </c>
      <c r="P227" s="114">
        <f>IF($D227="","",$M227-$O227)</f>
        <v/>
      </c>
      <c r="Q227" s="115">
        <f>IF($D227="","",IF($I227&gt;0,$P227/$I227,""))</f>
        <v/>
      </c>
      <c r="R227" s="127" t="n"/>
    </row>
    <row r="228">
      <c r="B228" s="130" t="n"/>
      <c r="C228" s="100" t="n"/>
      <c r="D228" s="100" t="n"/>
      <c r="E228" s="96">
        <f>IF($D228="","",IFERROR(INDEX(INVENTARIO!$C$7:$C$26,MATCH($D228,INVENTARIO!$B$7:$B$26,0)),"⚠ ID no existe"))</f>
        <v/>
      </c>
      <c r="F228" s="128" t="n"/>
      <c r="G228" s="129" t="n"/>
      <c r="H228" s="112">
        <f>IF($D228="","",IF($G228="",IFERROR(INDEX(INVENTARIO!$N$7:$N$26,MATCH($D228,INVENTARIO!$B$7:$B$26,0)),""),$G228))</f>
        <v/>
      </c>
      <c r="I228" s="114">
        <f>IF($D228="","",N($F228)*IF(ISNUMBER($H228),$H228,0))</f>
        <v/>
      </c>
      <c r="J228" s="115">
        <f>IF($D228="","",IFERROR(IF(INDEX(INVENTARIO!$O$7:$O$26,MATCH($D228,INVENTARIO!$B$7:$B$26,0))="",CFG_WALMART,INDEX(INVENTARIO!$O$7:$O$26,MATCH($D228,INVENTARIO!$B$7:$B$26,0))),CFG_WALMART))</f>
        <v/>
      </c>
      <c r="K228" s="112">
        <f>IF($D228="","",$I228*$J228)</f>
        <v/>
      </c>
      <c r="L228" s="129" t="n"/>
      <c r="M228" s="114">
        <f>IF($D228="","",$I228-$K228-N($L228))</f>
        <v/>
      </c>
      <c r="N228" s="113">
        <f>IF($D228="","",IFERROR(INDEX(INVENTARIO!$L$7:$L$26,MATCH($D228,INVENTARIO!$B$7:$B$26,0))*1,0))</f>
        <v/>
      </c>
      <c r="O228" s="112">
        <f>IF($D228="","",N($F228)*$N228)</f>
        <v/>
      </c>
      <c r="P228" s="114">
        <f>IF($D228="","",$M228-$O228)</f>
        <v/>
      </c>
      <c r="Q228" s="115">
        <f>IF($D228="","",IF($I228&gt;0,$P228/$I228,""))</f>
        <v/>
      </c>
      <c r="R228" s="127" t="n"/>
    </row>
    <row r="229">
      <c r="B229" s="130" t="n"/>
      <c r="C229" s="100" t="n"/>
      <c r="D229" s="100" t="n"/>
      <c r="E229" s="96">
        <f>IF($D229="","",IFERROR(INDEX(INVENTARIO!$C$7:$C$26,MATCH($D229,INVENTARIO!$B$7:$B$26,0)),"⚠ ID no existe"))</f>
        <v/>
      </c>
      <c r="F229" s="128" t="n"/>
      <c r="G229" s="129" t="n"/>
      <c r="H229" s="112">
        <f>IF($D229="","",IF($G229="",IFERROR(INDEX(INVENTARIO!$N$7:$N$26,MATCH($D229,INVENTARIO!$B$7:$B$26,0)),""),$G229))</f>
        <v/>
      </c>
      <c r="I229" s="114">
        <f>IF($D229="","",N($F229)*IF(ISNUMBER($H229),$H229,0))</f>
        <v/>
      </c>
      <c r="J229" s="115">
        <f>IF($D229="","",IFERROR(IF(INDEX(INVENTARIO!$O$7:$O$26,MATCH($D229,INVENTARIO!$B$7:$B$26,0))="",CFG_WALMART,INDEX(INVENTARIO!$O$7:$O$26,MATCH($D229,INVENTARIO!$B$7:$B$26,0))),CFG_WALMART))</f>
        <v/>
      </c>
      <c r="K229" s="112">
        <f>IF($D229="","",$I229*$J229)</f>
        <v/>
      </c>
      <c r="L229" s="129" t="n"/>
      <c r="M229" s="114">
        <f>IF($D229="","",$I229-$K229-N($L229))</f>
        <v/>
      </c>
      <c r="N229" s="113">
        <f>IF($D229="","",IFERROR(INDEX(INVENTARIO!$L$7:$L$26,MATCH($D229,INVENTARIO!$B$7:$B$26,0))*1,0))</f>
        <v/>
      </c>
      <c r="O229" s="112">
        <f>IF($D229="","",N($F229)*$N229)</f>
        <v/>
      </c>
      <c r="P229" s="114">
        <f>IF($D229="","",$M229-$O229)</f>
        <v/>
      </c>
      <c r="Q229" s="115">
        <f>IF($D229="","",IF($I229&gt;0,$P229/$I229,""))</f>
        <v/>
      </c>
      <c r="R229" s="127" t="n"/>
    </row>
    <row r="230">
      <c r="B230" s="130" t="n"/>
      <c r="C230" s="100" t="n"/>
      <c r="D230" s="100" t="n"/>
      <c r="E230" s="96">
        <f>IF($D230="","",IFERROR(INDEX(INVENTARIO!$C$7:$C$26,MATCH($D230,INVENTARIO!$B$7:$B$26,0)),"⚠ ID no existe"))</f>
        <v/>
      </c>
      <c r="F230" s="128" t="n"/>
      <c r="G230" s="129" t="n"/>
      <c r="H230" s="112">
        <f>IF($D230="","",IF($G230="",IFERROR(INDEX(INVENTARIO!$N$7:$N$26,MATCH($D230,INVENTARIO!$B$7:$B$26,0)),""),$G230))</f>
        <v/>
      </c>
      <c r="I230" s="114">
        <f>IF($D230="","",N($F230)*IF(ISNUMBER($H230),$H230,0))</f>
        <v/>
      </c>
      <c r="J230" s="115">
        <f>IF($D230="","",IFERROR(IF(INDEX(INVENTARIO!$O$7:$O$26,MATCH($D230,INVENTARIO!$B$7:$B$26,0))="",CFG_WALMART,INDEX(INVENTARIO!$O$7:$O$26,MATCH($D230,INVENTARIO!$B$7:$B$26,0))),CFG_WALMART))</f>
        <v/>
      </c>
      <c r="K230" s="112">
        <f>IF($D230="","",$I230*$J230)</f>
        <v/>
      </c>
      <c r="L230" s="129" t="n"/>
      <c r="M230" s="114">
        <f>IF($D230="","",$I230-$K230-N($L230))</f>
        <v/>
      </c>
      <c r="N230" s="113">
        <f>IF($D230="","",IFERROR(INDEX(INVENTARIO!$L$7:$L$26,MATCH($D230,INVENTARIO!$B$7:$B$26,0))*1,0))</f>
        <v/>
      </c>
      <c r="O230" s="112">
        <f>IF($D230="","",N($F230)*$N230)</f>
        <v/>
      </c>
      <c r="P230" s="114">
        <f>IF($D230="","",$M230-$O230)</f>
        <v/>
      </c>
      <c r="Q230" s="115">
        <f>IF($D230="","",IF($I230&gt;0,$P230/$I230,""))</f>
        <v/>
      </c>
      <c r="R230" s="127" t="n"/>
    </row>
    <row r="231">
      <c r="B231" s="130" t="n"/>
      <c r="C231" s="100" t="n"/>
      <c r="D231" s="100" t="n"/>
      <c r="E231" s="96">
        <f>IF($D231="","",IFERROR(INDEX(INVENTARIO!$C$7:$C$26,MATCH($D231,INVENTARIO!$B$7:$B$26,0)),"⚠ ID no existe"))</f>
        <v/>
      </c>
      <c r="F231" s="128" t="n"/>
      <c r="G231" s="129" t="n"/>
      <c r="H231" s="112">
        <f>IF($D231="","",IF($G231="",IFERROR(INDEX(INVENTARIO!$N$7:$N$26,MATCH($D231,INVENTARIO!$B$7:$B$26,0)),""),$G231))</f>
        <v/>
      </c>
      <c r="I231" s="114">
        <f>IF($D231="","",N($F231)*IF(ISNUMBER($H231),$H231,0))</f>
        <v/>
      </c>
      <c r="J231" s="115">
        <f>IF($D231="","",IFERROR(IF(INDEX(INVENTARIO!$O$7:$O$26,MATCH($D231,INVENTARIO!$B$7:$B$26,0))="",CFG_WALMART,INDEX(INVENTARIO!$O$7:$O$26,MATCH($D231,INVENTARIO!$B$7:$B$26,0))),CFG_WALMART))</f>
        <v/>
      </c>
      <c r="K231" s="112">
        <f>IF($D231="","",$I231*$J231)</f>
        <v/>
      </c>
      <c r="L231" s="129" t="n"/>
      <c r="M231" s="114">
        <f>IF($D231="","",$I231-$K231-N($L231))</f>
        <v/>
      </c>
      <c r="N231" s="113">
        <f>IF($D231="","",IFERROR(INDEX(INVENTARIO!$L$7:$L$26,MATCH($D231,INVENTARIO!$B$7:$B$26,0))*1,0))</f>
        <v/>
      </c>
      <c r="O231" s="112">
        <f>IF($D231="","",N($F231)*$N231)</f>
        <v/>
      </c>
      <c r="P231" s="114">
        <f>IF($D231="","",$M231-$O231)</f>
        <v/>
      </c>
      <c r="Q231" s="115">
        <f>IF($D231="","",IF($I231&gt;0,$P231/$I231,""))</f>
        <v/>
      </c>
      <c r="R231" s="127" t="n"/>
    </row>
    <row r="232">
      <c r="B232" s="130" t="n"/>
      <c r="C232" s="100" t="n"/>
      <c r="D232" s="100" t="n"/>
      <c r="E232" s="96">
        <f>IF($D232="","",IFERROR(INDEX(INVENTARIO!$C$7:$C$26,MATCH($D232,INVENTARIO!$B$7:$B$26,0)),"⚠ ID no existe"))</f>
        <v/>
      </c>
      <c r="F232" s="128" t="n"/>
      <c r="G232" s="129" t="n"/>
      <c r="H232" s="112">
        <f>IF($D232="","",IF($G232="",IFERROR(INDEX(INVENTARIO!$N$7:$N$26,MATCH($D232,INVENTARIO!$B$7:$B$26,0)),""),$G232))</f>
        <v/>
      </c>
      <c r="I232" s="114">
        <f>IF($D232="","",N($F232)*IF(ISNUMBER($H232),$H232,0))</f>
        <v/>
      </c>
      <c r="J232" s="115">
        <f>IF($D232="","",IFERROR(IF(INDEX(INVENTARIO!$O$7:$O$26,MATCH($D232,INVENTARIO!$B$7:$B$26,0))="",CFG_WALMART,INDEX(INVENTARIO!$O$7:$O$26,MATCH($D232,INVENTARIO!$B$7:$B$26,0))),CFG_WALMART))</f>
        <v/>
      </c>
      <c r="K232" s="112">
        <f>IF($D232="","",$I232*$J232)</f>
        <v/>
      </c>
      <c r="L232" s="129" t="n"/>
      <c r="M232" s="114">
        <f>IF($D232="","",$I232-$K232-N($L232))</f>
        <v/>
      </c>
      <c r="N232" s="113">
        <f>IF($D232="","",IFERROR(INDEX(INVENTARIO!$L$7:$L$26,MATCH($D232,INVENTARIO!$B$7:$B$26,0))*1,0))</f>
        <v/>
      </c>
      <c r="O232" s="112">
        <f>IF($D232="","",N($F232)*$N232)</f>
        <v/>
      </c>
      <c r="P232" s="114">
        <f>IF($D232="","",$M232-$O232)</f>
        <v/>
      </c>
      <c r="Q232" s="115">
        <f>IF($D232="","",IF($I232&gt;0,$P232/$I232,""))</f>
        <v/>
      </c>
      <c r="R232" s="127" t="n"/>
    </row>
    <row r="233">
      <c r="B233" s="130" t="n"/>
      <c r="C233" s="100" t="n"/>
      <c r="D233" s="100" t="n"/>
      <c r="E233" s="96">
        <f>IF($D233="","",IFERROR(INDEX(INVENTARIO!$C$7:$C$26,MATCH($D233,INVENTARIO!$B$7:$B$26,0)),"⚠ ID no existe"))</f>
        <v/>
      </c>
      <c r="F233" s="128" t="n"/>
      <c r="G233" s="129" t="n"/>
      <c r="H233" s="112">
        <f>IF($D233="","",IF($G233="",IFERROR(INDEX(INVENTARIO!$N$7:$N$26,MATCH($D233,INVENTARIO!$B$7:$B$26,0)),""),$G233))</f>
        <v/>
      </c>
      <c r="I233" s="114">
        <f>IF($D233="","",N($F233)*IF(ISNUMBER($H233),$H233,0))</f>
        <v/>
      </c>
      <c r="J233" s="115">
        <f>IF($D233="","",IFERROR(IF(INDEX(INVENTARIO!$O$7:$O$26,MATCH($D233,INVENTARIO!$B$7:$B$26,0))="",CFG_WALMART,INDEX(INVENTARIO!$O$7:$O$26,MATCH($D233,INVENTARIO!$B$7:$B$26,0))),CFG_WALMART))</f>
        <v/>
      </c>
      <c r="K233" s="112">
        <f>IF($D233="","",$I233*$J233)</f>
        <v/>
      </c>
      <c r="L233" s="129" t="n"/>
      <c r="M233" s="114">
        <f>IF($D233="","",$I233-$K233-N($L233))</f>
        <v/>
      </c>
      <c r="N233" s="113">
        <f>IF($D233="","",IFERROR(INDEX(INVENTARIO!$L$7:$L$26,MATCH($D233,INVENTARIO!$B$7:$B$26,0))*1,0))</f>
        <v/>
      </c>
      <c r="O233" s="112">
        <f>IF($D233="","",N($F233)*$N233)</f>
        <v/>
      </c>
      <c r="P233" s="114">
        <f>IF($D233="","",$M233-$O233)</f>
        <v/>
      </c>
      <c r="Q233" s="115">
        <f>IF($D233="","",IF($I233&gt;0,$P233/$I233,""))</f>
        <v/>
      </c>
      <c r="R233" s="127" t="n"/>
    </row>
    <row r="234">
      <c r="B234" s="130" t="n"/>
      <c r="C234" s="100" t="n"/>
      <c r="D234" s="100" t="n"/>
      <c r="E234" s="96">
        <f>IF($D234="","",IFERROR(INDEX(INVENTARIO!$C$7:$C$26,MATCH($D234,INVENTARIO!$B$7:$B$26,0)),"⚠ ID no existe"))</f>
        <v/>
      </c>
      <c r="F234" s="128" t="n"/>
      <c r="G234" s="129" t="n"/>
      <c r="H234" s="112">
        <f>IF($D234="","",IF($G234="",IFERROR(INDEX(INVENTARIO!$N$7:$N$26,MATCH($D234,INVENTARIO!$B$7:$B$26,0)),""),$G234))</f>
        <v/>
      </c>
      <c r="I234" s="114">
        <f>IF($D234="","",N($F234)*IF(ISNUMBER($H234),$H234,0))</f>
        <v/>
      </c>
      <c r="J234" s="115">
        <f>IF($D234="","",IFERROR(IF(INDEX(INVENTARIO!$O$7:$O$26,MATCH($D234,INVENTARIO!$B$7:$B$26,0))="",CFG_WALMART,INDEX(INVENTARIO!$O$7:$O$26,MATCH($D234,INVENTARIO!$B$7:$B$26,0))),CFG_WALMART))</f>
        <v/>
      </c>
      <c r="K234" s="112">
        <f>IF($D234="","",$I234*$J234)</f>
        <v/>
      </c>
      <c r="L234" s="129" t="n"/>
      <c r="M234" s="114">
        <f>IF($D234="","",$I234-$K234-N($L234))</f>
        <v/>
      </c>
      <c r="N234" s="113">
        <f>IF($D234="","",IFERROR(INDEX(INVENTARIO!$L$7:$L$26,MATCH($D234,INVENTARIO!$B$7:$B$26,0))*1,0))</f>
        <v/>
      </c>
      <c r="O234" s="112">
        <f>IF($D234="","",N($F234)*$N234)</f>
        <v/>
      </c>
      <c r="P234" s="114">
        <f>IF($D234="","",$M234-$O234)</f>
        <v/>
      </c>
      <c r="Q234" s="115">
        <f>IF($D234="","",IF($I234&gt;0,$P234/$I234,""))</f>
        <v/>
      </c>
      <c r="R234" s="127" t="n"/>
    </row>
    <row r="235">
      <c r="B235" s="130" t="n"/>
      <c r="C235" s="100" t="n"/>
      <c r="D235" s="100" t="n"/>
      <c r="E235" s="96">
        <f>IF($D235="","",IFERROR(INDEX(INVENTARIO!$C$7:$C$26,MATCH($D235,INVENTARIO!$B$7:$B$26,0)),"⚠ ID no existe"))</f>
        <v/>
      </c>
      <c r="F235" s="128" t="n"/>
      <c r="G235" s="129" t="n"/>
      <c r="H235" s="112">
        <f>IF($D235="","",IF($G235="",IFERROR(INDEX(INVENTARIO!$N$7:$N$26,MATCH($D235,INVENTARIO!$B$7:$B$26,0)),""),$G235))</f>
        <v/>
      </c>
      <c r="I235" s="114">
        <f>IF($D235="","",N($F235)*IF(ISNUMBER($H235),$H235,0))</f>
        <v/>
      </c>
      <c r="J235" s="115">
        <f>IF($D235="","",IFERROR(IF(INDEX(INVENTARIO!$O$7:$O$26,MATCH($D235,INVENTARIO!$B$7:$B$26,0))="",CFG_WALMART,INDEX(INVENTARIO!$O$7:$O$26,MATCH($D235,INVENTARIO!$B$7:$B$26,0))),CFG_WALMART))</f>
        <v/>
      </c>
      <c r="K235" s="112">
        <f>IF($D235="","",$I235*$J235)</f>
        <v/>
      </c>
      <c r="L235" s="129" t="n"/>
      <c r="M235" s="114">
        <f>IF($D235="","",$I235-$K235-N($L235))</f>
        <v/>
      </c>
      <c r="N235" s="113">
        <f>IF($D235="","",IFERROR(INDEX(INVENTARIO!$L$7:$L$26,MATCH($D235,INVENTARIO!$B$7:$B$26,0))*1,0))</f>
        <v/>
      </c>
      <c r="O235" s="112">
        <f>IF($D235="","",N($F235)*$N235)</f>
        <v/>
      </c>
      <c r="P235" s="114">
        <f>IF($D235="","",$M235-$O235)</f>
        <v/>
      </c>
      <c r="Q235" s="115">
        <f>IF($D235="","",IF($I235&gt;0,$P235/$I235,""))</f>
        <v/>
      </c>
      <c r="R235" s="127" t="n"/>
    </row>
    <row r="236">
      <c r="B236" s="130" t="n"/>
      <c r="C236" s="100" t="n"/>
      <c r="D236" s="100" t="n"/>
      <c r="E236" s="96">
        <f>IF($D236="","",IFERROR(INDEX(INVENTARIO!$C$7:$C$26,MATCH($D236,INVENTARIO!$B$7:$B$26,0)),"⚠ ID no existe"))</f>
        <v/>
      </c>
      <c r="F236" s="128" t="n"/>
      <c r="G236" s="129" t="n"/>
      <c r="H236" s="112">
        <f>IF($D236="","",IF($G236="",IFERROR(INDEX(INVENTARIO!$N$7:$N$26,MATCH($D236,INVENTARIO!$B$7:$B$26,0)),""),$G236))</f>
        <v/>
      </c>
      <c r="I236" s="114">
        <f>IF($D236="","",N($F236)*IF(ISNUMBER($H236),$H236,0))</f>
        <v/>
      </c>
      <c r="J236" s="115">
        <f>IF($D236="","",IFERROR(IF(INDEX(INVENTARIO!$O$7:$O$26,MATCH($D236,INVENTARIO!$B$7:$B$26,0))="",CFG_WALMART,INDEX(INVENTARIO!$O$7:$O$26,MATCH($D236,INVENTARIO!$B$7:$B$26,0))),CFG_WALMART))</f>
        <v/>
      </c>
      <c r="K236" s="112">
        <f>IF($D236="","",$I236*$J236)</f>
        <v/>
      </c>
      <c r="L236" s="129" t="n"/>
      <c r="M236" s="114">
        <f>IF($D236="","",$I236-$K236-N($L236))</f>
        <v/>
      </c>
      <c r="N236" s="113">
        <f>IF($D236="","",IFERROR(INDEX(INVENTARIO!$L$7:$L$26,MATCH($D236,INVENTARIO!$B$7:$B$26,0))*1,0))</f>
        <v/>
      </c>
      <c r="O236" s="112">
        <f>IF($D236="","",N($F236)*$N236)</f>
        <v/>
      </c>
      <c r="P236" s="114">
        <f>IF($D236="","",$M236-$O236)</f>
        <v/>
      </c>
      <c r="Q236" s="115">
        <f>IF($D236="","",IF($I236&gt;0,$P236/$I236,""))</f>
        <v/>
      </c>
      <c r="R236" s="127" t="n"/>
    </row>
    <row r="237">
      <c r="B237" s="130" t="n"/>
      <c r="C237" s="100" t="n"/>
      <c r="D237" s="100" t="n"/>
      <c r="E237" s="96">
        <f>IF($D237="","",IFERROR(INDEX(INVENTARIO!$C$7:$C$26,MATCH($D237,INVENTARIO!$B$7:$B$26,0)),"⚠ ID no existe"))</f>
        <v/>
      </c>
      <c r="F237" s="128" t="n"/>
      <c r="G237" s="129" t="n"/>
      <c r="H237" s="112">
        <f>IF($D237="","",IF($G237="",IFERROR(INDEX(INVENTARIO!$N$7:$N$26,MATCH($D237,INVENTARIO!$B$7:$B$26,0)),""),$G237))</f>
        <v/>
      </c>
      <c r="I237" s="114">
        <f>IF($D237="","",N($F237)*IF(ISNUMBER($H237),$H237,0))</f>
        <v/>
      </c>
      <c r="J237" s="115">
        <f>IF($D237="","",IFERROR(IF(INDEX(INVENTARIO!$O$7:$O$26,MATCH($D237,INVENTARIO!$B$7:$B$26,0))="",CFG_WALMART,INDEX(INVENTARIO!$O$7:$O$26,MATCH($D237,INVENTARIO!$B$7:$B$26,0))),CFG_WALMART))</f>
        <v/>
      </c>
      <c r="K237" s="112">
        <f>IF($D237="","",$I237*$J237)</f>
        <v/>
      </c>
      <c r="L237" s="129" t="n"/>
      <c r="M237" s="114">
        <f>IF($D237="","",$I237-$K237-N($L237))</f>
        <v/>
      </c>
      <c r="N237" s="113">
        <f>IF($D237="","",IFERROR(INDEX(INVENTARIO!$L$7:$L$26,MATCH($D237,INVENTARIO!$B$7:$B$26,0))*1,0))</f>
        <v/>
      </c>
      <c r="O237" s="112">
        <f>IF($D237="","",N($F237)*$N237)</f>
        <v/>
      </c>
      <c r="P237" s="114">
        <f>IF($D237="","",$M237-$O237)</f>
        <v/>
      </c>
      <c r="Q237" s="115">
        <f>IF($D237="","",IF($I237&gt;0,$P237/$I237,""))</f>
        <v/>
      </c>
      <c r="R237" s="127" t="n"/>
    </row>
    <row r="238">
      <c r="B238" s="130" t="n"/>
      <c r="C238" s="100" t="n"/>
      <c r="D238" s="100" t="n"/>
      <c r="E238" s="96">
        <f>IF($D238="","",IFERROR(INDEX(INVENTARIO!$C$7:$C$26,MATCH($D238,INVENTARIO!$B$7:$B$26,0)),"⚠ ID no existe"))</f>
        <v/>
      </c>
      <c r="F238" s="128" t="n"/>
      <c r="G238" s="129" t="n"/>
      <c r="H238" s="112">
        <f>IF($D238="","",IF($G238="",IFERROR(INDEX(INVENTARIO!$N$7:$N$26,MATCH($D238,INVENTARIO!$B$7:$B$26,0)),""),$G238))</f>
        <v/>
      </c>
      <c r="I238" s="114">
        <f>IF($D238="","",N($F238)*IF(ISNUMBER($H238),$H238,0))</f>
        <v/>
      </c>
      <c r="J238" s="115">
        <f>IF($D238="","",IFERROR(IF(INDEX(INVENTARIO!$O$7:$O$26,MATCH($D238,INVENTARIO!$B$7:$B$26,0))="",CFG_WALMART,INDEX(INVENTARIO!$O$7:$O$26,MATCH($D238,INVENTARIO!$B$7:$B$26,0))),CFG_WALMART))</f>
        <v/>
      </c>
      <c r="K238" s="112">
        <f>IF($D238="","",$I238*$J238)</f>
        <v/>
      </c>
      <c r="L238" s="129" t="n"/>
      <c r="M238" s="114">
        <f>IF($D238="","",$I238-$K238-N($L238))</f>
        <v/>
      </c>
      <c r="N238" s="113">
        <f>IF($D238="","",IFERROR(INDEX(INVENTARIO!$L$7:$L$26,MATCH($D238,INVENTARIO!$B$7:$B$26,0))*1,0))</f>
        <v/>
      </c>
      <c r="O238" s="112">
        <f>IF($D238="","",N($F238)*$N238)</f>
        <v/>
      </c>
      <c r="P238" s="114">
        <f>IF($D238="","",$M238-$O238)</f>
        <v/>
      </c>
      <c r="Q238" s="115">
        <f>IF($D238="","",IF($I238&gt;0,$P238/$I238,""))</f>
        <v/>
      </c>
      <c r="R238" s="127" t="n"/>
    </row>
    <row r="239">
      <c r="B239" s="130" t="n"/>
      <c r="C239" s="100" t="n"/>
      <c r="D239" s="100" t="n"/>
      <c r="E239" s="96">
        <f>IF($D239="","",IFERROR(INDEX(INVENTARIO!$C$7:$C$26,MATCH($D239,INVENTARIO!$B$7:$B$26,0)),"⚠ ID no existe"))</f>
        <v/>
      </c>
      <c r="F239" s="128" t="n"/>
      <c r="G239" s="129" t="n"/>
      <c r="H239" s="112">
        <f>IF($D239="","",IF($G239="",IFERROR(INDEX(INVENTARIO!$N$7:$N$26,MATCH($D239,INVENTARIO!$B$7:$B$26,0)),""),$G239))</f>
        <v/>
      </c>
      <c r="I239" s="114">
        <f>IF($D239="","",N($F239)*IF(ISNUMBER($H239),$H239,0))</f>
        <v/>
      </c>
      <c r="J239" s="115">
        <f>IF($D239="","",IFERROR(IF(INDEX(INVENTARIO!$O$7:$O$26,MATCH($D239,INVENTARIO!$B$7:$B$26,0))="",CFG_WALMART,INDEX(INVENTARIO!$O$7:$O$26,MATCH($D239,INVENTARIO!$B$7:$B$26,0))),CFG_WALMART))</f>
        <v/>
      </c>
      <c r="K239" s="112">
        <f>IF($D239="","",$I239*$J239)</f>
        <v/>
      </c>
      <c r="L239" s="129" t="n"/>
      <c r="M239" s="114">
        <f>IF($D239="","",$I239-$K239-N($L239))</f>
        <v/>
      </c>
      <c r="N239" s="113">
        <f>IF($D239="","",IFERROR(INDEX(INVENTARIO!$L$7:$L$26,MATCH($D239,INVENTARIO!$B$7:$B$26,0))*1,0))</f>
        <v/>
      </c>
      <c r="O239" s="112">
        <f>IF($D239="","",N($F239)*$N239)</f>
        <v/>
      </c>
      <c r="P239" s="114">
        <f>IF($D239="","",$M239-$O239)</f>
        <v/>
      </c>
      <c r="Q239" s="115">
        <f>IF($D239="","",IF($I239&gt;0,$P239/$I239,""))</f>
        <v/>
      </c>
      <c r="R239" s="127" t="n"/>
    </row>
    <row r="240">
      <c r="B240" s="130" t="n"/>
      <c r="C240" s="100" t="n"/>
      <c r="D240" s="100" t="n"/>
      <c r="E240" s="96">
        <f>IF($D240="","",IFERROR(INDEX(INVENTARIO!$C$7:$C$26,MATCH($D240,INVENTARIO!$B$7:$B$26,0)),"⚠ ID no existe"))</f>
        <v/>
      </c>
      <c r="F240" s="128" t="n"/>
      <c r="G240" s="129" t="n"/>
      <c r="H240" s="112">
        <f>IF($D240="","",IF($G240="",IFERROR(INDEX(INVENTARIO!$N$7:$N$26,MATCH($D240,INVENTARIO!$B$7:$B$26,0)),""),$G240))</f>
        <v/>
      </c>
      <c r="I240" s="114">
        <f>IF($D240="","",N($F240)*IF(ISNUMBER($H240),$H240,0))</f>
        <v/>
      </c>
      <c r="J240" s="115">
        <f>IF($D240="","",IFERROR(IF(INDEX(INVENTARIO!$O$7:$O$26,MATCH($D240,INVENTARIO!$B$7:$B$26,0))="",CFG_WALMART,INDEX(INVENTARIO!$O$7:$O$26,MATCH($D240,INVENTARIO!$B$7:$B$26,0))),CFG_WALMART))</f>
        <v/>
      </c>
      <c r="K240" s="112">
        <f>IF($D240="","",$I240*$J240)</f>
        <v/>
      </c>
      <c r="L240" s="129" t="n"/>
      <c r="M240" s="114">
        <f>IF($D240="","",$I240-$K240-N($L240))</f>
        <v/>
      </c>
      <c r="N240" s="113">
        <f>IF($D240="","",IFERROR(INDEX(INVENTARIO!$L$7:$L$26,MATCH($D240,INVENTARIO!$B$7:$B$26,0))*1,0))</f>
        <v/>
      </c>
      <c r="O240" s="112">
        <f>IF($D240="","",N($F240)*$N240)</f>
        <v/>
      </c>
      <c r="P240" s="114">
        <f>IF($D240="","",$M240-$O240)</f>
        <v/>
      </c>
      <c r="Q240" s="115">
        <f>IF($D240="","",IF($I240&gt;0,$P240/$I240,""))</f>
        <v/>
      </c>
      <c r="R240" s="127" t="n"/>
    </row>
    <row r="241">
      <c r="B241" s="130" t="n"/>
      <c r="C241" s="100" t="n"/>
      <c r="D241" s="100" t="n"/>
      <c r="E241" s="96">
        <f>IF($D241="","",IFERROR(INDEX(INVENTARIO!$C$7:$C$26,MATCH($D241,INVENTARIO!$B$7:$B$26,0)),"⚠ ID no existe"))</f>
        <v/>
      </c>
      <c r="F241" s="128" t="n"/>
      <c r="G241" s="129" t="n"/>
      <c r="H241" s="112">
        <f>IF($D241="","",IF($G241="",IFERROR(INDEX(INVENTARIO!$N$7:$N$26,MATCH($D241,INVENTARIO!$B$7:$B$26,0)),""),$G241))</f>
        <v/>
      </c>
      <c r="I241" s="114">
        <f>IF($D241="","",N($F241)*IF(ISNUMBER($H241),$H241,0))</f>
        <v/>
      </c>
      <c r="J241" s="115">
        <f>IF($D241="","",IFERROR(IF(INDEX(INVENTARIO!$O$7:$O$26,MATCH($D241,INVENTARIO!$B$7:$B$26,0))="",CFG_WALMART,INDEX(INVENTARIO!$O$7:$O$26,MATCH($D241,INVENTARIO!$B$7:$B$26,0))),CFG_WALMART))</f>
        <v/>
      </c>
      <c r="K241" s="112">
        <f>IF($D241="","",$I241*$J241)</f>
        <v/>
      </c>
      <c r="L241" s="129" t="n"/>
      <c r="M241" s="114">
        <f>IF($D241="","",$I241-$K241-N($L241))</f>
        <v/>
      </c>
      <c r="N241" s="113">
        <f>IF($D241="","",IFERROR(INDEX(INVENTARIO!$L$7:$L$26,MATCH($D241,INVENTARIO!$B$7:$B$26,0))*1,0))</f>
        <v/>
      </c>
      <c r="O241" s="112">
        <f>IF($D241="","",N($F241)*$N241)</f>
        <v/>
      </c>
      <c r="P241" s="114">
        <f>IF($D241="","",$M241-$O241)</f>
        <v/>
      </c>
      <c r="Q241" s="115">
        <f>IF($D241="","",IF($I241&gt;0,$P241/$I241,""))</f>
        <v/>
      </c>
      <c r="R241" s="127" t="n"/>
    </row>
    <row r="242">
      <c r="B242" s="130" t="n"/>
      <c r="C242" s="100" t="n"/>
      <c r="D242" s="100" t="n"/>
      <c r="E242" s="96">
        <f>IF($D242="","",IFERROR(INDEX(INVENTARIO!$C$7:$C$26,MATCH($D242,INVENTARIO!$B$7:$B$26,0)),"⚠ ID no existe"))</f>
        <v/>
      </c>
      <c r="F242" s="128" t="n"/>
      <c r="G242" s="129" t="n"/>
      <c r="H242" s="112">
        <f>IF($D242="","",IF($G242="",IFERROR(INDEX(INVENTARIO!$N$7:$N$26,MATCH($D242,INVENTARIO!$B$7:$B$26,0)),""),$G242))</f>
        <v/>
      </c>
      <c r="I242" s="114">
        <f>IF($D242="","",N($F242)*IF(ISNUMBER($H242),$H242,0))</f>
        <v/>
      </c>
      <c r="J242" s="115">
        <f>IF($D242="","",IFERROR(IF(INDEX(INVENTARIO!$O$7:$O$26,MATCH($D242,INVENTARIO!$B$7:$B$26,0))="",CFG_WALMART,INDEX(INVENTARIO!$O$7:$O$26,MATCH($D242,INVENTARIO!$B$7:$B$26,0))),CFG_WALMART))</f>
        <v/>
      </c>
      <c r="K242" s="112">
        <f>IF($D242="","",$I242*$J242)</f>
        <v/>
      </c>
      <c r="L242" s="129" t="n"/>
      <c r="M242" s="114">
        <f>IF($D242="","",$I242-$K242-N($L242))</f>
        <v/>
      </c>
      <c r="N242" s="113">
        <f>IF($D242="","",IFERROR(INDEX(INVENTARIO!$L$7:$L$26,MATCH($D242,INVENTARIO!$B$7:$B$26,0))*1,0))</f>
        <v/>
      </c>
      <c r="O242" s="112">
        <f>IF($D242="","",N($F242)*$N242)</f>
        <v/>
      </c>
      <c r="P242" s="114">
        <f>IF($D242="","",$M242-$O242)</f>
        <v/>
      </c>
      <c r="Q242" s="115">
        <f>IF($D242="","",IF($I242&gt;0,$P242/$I242,""))</f>
        <v/>
      </c>
      <c r="R242" s="127" t="n"/>
    </row>
    <row r="243">
      <c r="B243" s="130" t="n"/>
      <c r="C243" s="100" t="n"/>
      <c r="D243" s="100" t="n"/>
      <c r="E243" s="96">
        <f>IF($D243="","",IFERROR(INDEX(INVENTARIO!$C$7:$C$26,MATCH($D243,INVENTARIO!$B$7:$B$26,0)),"⚠ ID no existe"))</f>
        <v/>
      </c>
      <c r="F243" s="128" t="n"/>
      <c r="G243" s="129" t="n"/>
      <c r="H243" s="112">
        <f>IF($D243="","",IF($G243="",IFERROR(INDEX(INVENTARIO!$N$7:$N$26,MATCH($D243,INVENTARIO!$B$7:$B$26,0)),""),$G243))</f>
        <v/>
      </c>
      <c r="I243" s="114">
        <f>IF($D243="","",N($F243)*IF(ISNUMBER($H243),$H243,0))</f>
        <v/>
      </c>
      <c r="J243" s="115">
        <f>IF($D243="","",IFERROR(IF(INDEX(INVENTARIO!$O$7:$O$26,MATCH($D243,INVENTARIO!$B$7:$B$26,0))="",CFG_WALMART,INDEX(INVENTARIO!$O$7:$O$26,MATCH($D243,INVENTARIO!$B$7:$B$26,0))),CFG_WALMART))</f>
        <v/>
      </c>
      <c r="K243" s="112">
        <f>IF($D243="","",$I243*$J243)</f>
        <v/>
      </c>
      <c r="L243" s="129" t="n"/>
      <c r="M243" s="114">
        <f>IF($D243="","",$I243-$K243-N($L243))</f>
        <v/>
      </c>
      <c r="N243" s="113">
        <f>IF($D243="","",IFERROR(INDEX(INVENTARIO!$L$7:$L$26,MATCH($D243,INVENTARIO!$B$7:$B$26,0))*1,0))</f>
        <v/>
      </c>
      <c r="O243" s="112">
        <f>IF($D243="","",N($F243)*$N243)</f>
        <v/>
      </c>
      <c r="P243" s="114">
        <f>IF($D243="","",$M243-$O243)</f>
        <v/>
      </c>
      <c r="Q243" s="115">
        <f>IF($D243="","",IF($I243&gt;0,$P243/$I243,""))</f>
        <v/>
      </c>
      <c r="R243" s="127" t="n"/>
    </row>
    <row r="244">
      <c r="B244" s="130" t="n"/>
      <c r="C244" s="100" t="n"/>
      <c r="D244" s="100" t="n"/>
      <c r="E244" s="96">
        <f>IF($D244="","",IFERROR(INDEX(INVENTARIO!$C$7:$C$26,MATCH($D244,INVENTARIO!$B$7:$B$26,0)),"⚠ ID no existe"))</f>
        <v/>
      </c>
      <c r="F244" s="128" t="n"/>
      <c r="G244" s="129" t="n"/>
      <c r="H244" s="112">
        <f>IF($D244="","",IF($G244="",IFERROR(INDEX(INVENTARIO!$N$7:$N$26,MATCH($D244,INVENTARIO!$B$7:$B$26,0)),""),$G244))</f>
        <v/>
      </c>
      <c r="I244" s="114">
        <f>IF($D244="","",N($F244)*IF(ISNUMBER($H244),$H244,0))</f>
        <v/>
      </c>
      <c r="J244" s="115">
        <f>IF($D244="","",IFERROR(IF(INDEX(INVENTARIO!$O$7:$O$26,MATCH($D244,INVENTARIO!$B$7:$B$26,0))="",CFG_WALMART,INDEX(INVENTARIO!$O$7:$O$26,MATCH($D244,INVENTARIO!$B$7:$B$26,0))),CFG_WALMART))</f>
        <v/>
      </c>
      <c r="K244" s="112">
        <f>IF($D244="","",$I244*$J244)</f>
        <v/>
      </c>
      <c r="L244" s="129" t="n"/>
      <c r="M244" s="114">
        <f>IF($D244="","",$I244-$K244-N($L244))</f>
        <v/>
      </c>
      <c r="N244" s="113">
        <f>IF($D244="","",IFERROR(INDEX(INVENTARIO!$L$7:$L$26,MATCH($D244,INVENTARIO!$B$7:$B$26,0))*1,0))</f>
        <v/>
      </c>
      <c r="O244" s="112">
        <f>IF($D244="","",N($F244)*$N244)</f>
        <v/>
      </c>
      <c r="P244" s="114">
        <f>IF($D244="","",$M244-$O244)</f>
        <v/>
      </c>
      <c r="Q244" s="115">
        <f>IF($D244="","",IF($I244&gt;0,$P244/$I244,""))</f>
        <v/>
      </c>
      <c r="R244" s="127" t="n"/>
    </row>
    <row r="245">
      <c r="B245" s="130" t="n"/>
      <c r="C245" s="100" t="n"/>
      <c r="D245" s="100" t="n"/>
      <c r="E245" s="96">
        <f>IF($D245="","",IFERROR(INDEX(INVENTARIO!$C$7:$C$26,MATCH($D245,INVENTARIO!$B$7:$B$26,0)),"⚠ ID no existe"))</f>
        <v/>
      </c>
      <c r="F245" s="128" t="n"/>
      <c r="G245" s="129" t="n"/>
      <c r="H245" s="112">
        <f>IF($D245="","",IF($G245="",IFERROR(INDEX(INVENTARIO!$N$7:$N$26,MATCH($D245,INVENTARIO!$B$7:$B$26,0)),""),$G245))</f>
        <v/>
      </c>
      <c r="I245" s="114">
        <f>IF($D245="","",N($F245)*IF(ISNUMBER($H245),$H245,0))</f>
        <v/>
      </c>
      <c r="J245" s="115">
        <f>IF($D245="","",IFERROR(IF(INDEX(INVENTARIO!$O$7:$O$26,MATCH($D245,INVENTARIO!$B$7:$B$26,0))="",CFG_WALMART,INDEX(INVENTARIO!$O$7:$O$26,MATCH($D245,INVENTARIO!$B$7:$B$26,0))),CFG_WALMART))</f>
        <v/>
      </c>
      <c r="K245" s="112">
        <f>IF($D245="","",$I245*$J245)</f>
        <v/>
      </c>
      <c r="L245" s="129" t="n"/>
      <c r="M245" s="114">
        <f>IF($D245="","",$I245-$K245-N($L245))</f>
        <v/>
      </c>
      <c r="N245" s="113">
        <f>IF($D245="","",IFERROR(INDEX(INVENTARIO!$L$7:$L$26,MATCH($D245,INVENTARIO!$B$7:$B$26,0))*1,0))</f>
        <v/>
      </c>
      <c r="O245" s="112">
        <f>IF($D245="","",N($F245)*$N245)</f>
        <v/>
      </c>
      <c r="P245" s="114">
        <f>IF($D245="","",$M245-$O245)</f>
        <v/>
      </c>
      <c r="Q245" s="115">
        <f>IF($D245="","",IF($I245&gt;0,$P245/$I245,""))</f>
        <v/>
      </c>
      <c r="R245" s="127" t="n"/>
    </row>
    <row r="246">
      <c r="B246" s="130" t="n"/>
      <c r="C246" s="100" t="n"/>
      <c r="D246" s="100" t="n"/>
      <c r="E246" s="96">
        <f>IF($D246="","",IFERROR(INDEX(INVENTARIO!$C$7:$C$26,MATCH($D246,INVENTARIO!$B$7:$B$26,0)),"⚠ ID no existe"))</f>
        <v/>
      </c>
      <c r="F246" s="128" t="n"/>
      <c r="G246" s="129" t="n"/>
      <c r="H246" s="112">
        <f>IF($D246="","",IF($G246="",IFERROR(INDEX(INVENTARIO!$N$7:$N$26,MATCH($D246,INVENTARIO!$B$7:$B$26,0)),""),$G246))</f>
        <v/>
      </c>
      <c r="I246" s="114">
        <f>IF($D246="","",N($F246)*IF(ISNUMBER($H246),$H246,0))</f>
        <v/>
      </c>
      <c r="J246" s="115">
        <f>IF($D246="","",IFERROR(IF(INDEX(INVENTARIO!$O$7:$O$26,MATCH($D246,INVENTARIO!$B$7:$B$26,0))="",CFG_WALMART,INDEX(INVENTARIO!$O$7:$O$26,MATCH($D246,INVENTARIO!$B$7:$B$26,0))),CFG_WALMART))</f>
        <v/>
      </c>
      <c r="K246" s="112">
        <f>IF($D246="","",$I246*$J246)</f>
        <v/>
      </c>
      <c r="L246" s="129" t="n"/>
      <c r="M246" s="114">
        <f>IF($D246="","",$I246-$K246-N($L246))</f>
        <v/>
      </c>
      <c r="N246" s="113">
        <f>IF($D246="","",IFERROR(INDEX(INVENTARIO!$L$7:$L$26,MATCH($D246,INVENTARIO!$B$7:$B$26,0))*1,0))</f>
        <v/>
      </c>
      <c r="O246" s="112">
        <f>IF($D246="","",N($F246)*$N246)</f>
        <v/>
      </c>
      <c r="P246" s="114">
        <f>IF($D246="","",$M246-$O246)</f>
        <v/>
      </c>
      <c r="Q246" s="115">
        <f>IF($D246="","",IF($I246&gt;0,$P246/$I246,""))</f>
        <v/>
      </c>
      <c r="R246" s="127" t="n"/>
    </row>
    <row r="247">
      <c r="B247" s="130" t="n"/>
      <c r="C247" s="100" t="n"/>
      <c r="D247" s="100" t="n"/>
      <c r="E247" s="96">
        <f>IF($D247="","",IFERROR(INDEX(INVENTARIO!$C$7:$C$26,MATCH($D247,INVENTARIO!$B$7:$B$26,0)),"⚠ ID no existe"))</f>
        <v/>
      </c>
      <c r="F247" s="128" t="n"/>
      <c r="G247" s="129" t="n"/>
      <c r="H247" s="112">
        <f>IF($D247="","",IF($G247="",IFERROR(INDEX(INVENTARIO!$N$7:$N$26,MATCH($D247,INVENTARIO!$B$7:$B$26,0)),""),$G247))</f>
        <v/>
      </c>
      <c r="I247" s="114">
        <f>IF($D247="","",N($F247)*IF(ISNUMBER($H247),$H247,0))</f>
        <v/>
      </c>
      <c r="J247" s="115">
        <f>IF($D247="","",IFERROR(IF(INDEX(INVENTARIO!$O$7:$O$26,MATCH($D247,INVENTARIO!$B$7:$B$26,0))="",CFG_WALMART,INDEX(INVENTARIO!$O$7:$O$26,MATCH($D247,INVENTARIO!$B$7:$B$26,0))),CFG_WALMART))</f>
        <v/>
      </c>
      <c r="K247" s="112">
        <f>IF($D247="","",$I247*$J247)</f>
        <v/>
      </c>
      <c r="L247" s="129" t="n"/>
      <c r="M247" s="114">
        <f>IF($D247="","",$I247-$K247-N($L247))</f>
        <v/>
      </c>
      <c r="N247" s="113">
        <f>IF($D247="","",IFERROR(INDEX(INVENTARIO!$L$7:$L$26,MATCH($D247,INVENTARIO!$B$7:$B$26,0))*1,0))</f>
        <v/>
      </c>
      <c r="O247" s="112">
        <f>IF($D247="","",N($F247)*$N247)</f>
        <v/>
      </c>
      <c r="P247" s="114">
        <f>IF($D247="","",$M247-$O247)</f>
        <v/>
      </c>
      <c r="Q247" s="115">
        <f>IF($D247="","",IF($I247&gt;0,$P247/$I247,""))</f>
        <v/>
      </c>
      <c r="R247" s="127" t="n"/>
    </row>
    <row r="248">
      <c r="B248" s="130" t="n"/>
      <c r="C248" s="100" t="n"/>
      <c r="D248" s="100" t="n"/>
      <c r="E248" s="96">
        <f>IF($D248="","",IFERROR(INDEX(INVENTARIO!$C$7:$C$26,MATCH($D248,INVENTARIO!$B$7:$B$26,0)),"⚠ ID no existe"))</f>
        <v/>
      </c>
      <c r="F248" s="128" t="n"/>
      <c r="G248" s="129" t="n"/>
      <c r="H248" s="112">
        <f>IF($D248="","",IF($G248="",IFERROR(INDEX(INVENTARIO!$N$7:$N$26,MATCH($D248,INVENTARIO!$B$7:$B$26,0)),""),$G248))</f>
        <v/>
      </c>
      <c r="I248" s="114">
        <f>IF($D248="","",N($F248)*IF(ISNUMBER($H248),$H248,0))</f>
        <v/>
      </c>
      <c r="J248" s="115">
        <f>IF($D248="","",IFERROR(IF(INDEX(INVENTARIO!$O$7:$O$26,MATCH($D248,INVENTARIO!$B$7:$B$26,0))="",CFG_WALMART,INDEX(INVENTARIO!$O$7:$O$26,MATCH($D248,INVENTARIO!$B$7:$B$26,0))),CFG_WALMART))</f>
        <v/>
      </c>
      <c r="K248" s="112">
        <f>IF($D248="","",$I248*$J248)</f>
        <v/>
      </c>
      <c r="L248" s="129" t="n"/>
      <c r="M248" s="114">
        <f>IF($D248="","",$I248-$K248-N($L248))</f>
        <v/>
      </c>
      <c r="N248" s="113">
        <f>IF($D248="","",IFERROR(INDEX(INVENTARIO!$L$7:$L$26,MATCH($D248,INVENTARIO!$B$7:$B$26,0))*1,0))</f>
        <v/>
      </c>
      <c r="O248" s="112">
        <f>IF($D248="","",N($F248)*$N248)</f>
        <v/>
      </c>
      <c r="P248" s="114">
        <f>IF($D248="","",$M248-$O248)</f>
        <v/>
      </c>
      <c r="Q248" s="115">
        <f>IF($D248="","",IF($I248&gt;0,$P248/$I248,""))</f>
        <v/>
      </c>
      <c r="R248" s="127" t="n"/>
    </row>
    <row r="249">
      <c r="B249" s="130" t="n"/>
      <c r="C249" s="100" t="n"/>
      <c r="D249" s="100" t="n"/>
      <c r="E249" s="96">
        <f>IF($D249="","",IFERROR(INDEX(INVENTARIO!$C$7:$C$26,MATCH($D249,INVENTARIO!$B$7:$B$26,0)),"⚠ ID no existe"))</f>
        <v/>
      </c>
      <c r="F249" s="128" t="n"/>
      <c r="G249" s="129" t="n"/>
      <c r="H249" s="112">
        <f>IF($D249="","",IF($G249="",IFERROR(INDEX(INVENTARIO!$N$7:$N$26,MATCH($D249,INVENTARIO!$B$7:$B$26,0)),""),$G249))</f>
        <v/>
      </c>
      <c r="I249" s="114">
        <f>IF($D249="","",N($F249)*IF(ISNUMBER($H249),$H249,0))</f>
        <v/>
      </c>
      <c r="J249" s="115">
        <f>IF($D249="","",IFERROR(IF(INDEX(INVENTARIO!$O$7:$O$26,MATCH($D249,INVENTARIO!$B$7:$B$26,0))="",CFG_WALMART,INDEX(INVENTARIO!$O$7:$O$26,MATCH($D249,INVENTARIO!$B$7:$B$26,0))),CFG_WALMART))</f>
        <v/>
      </c>
      <c r="K249" s="112">
        <f>IF($D249="","",$I249*$J249)</f>
        <v/>
      </c>
      <c r="L249" s="129" t="n"/>
      <c r="M249" s="114">
        <f>IF($D249="","",$I249-$K249-N($L249))</f>
        <v/>
      </c>
      <c r="N249" s="113">
        <f>IF($D249="","",IFERROR(INDEX(INVENTARIO!$L$7:$L$26,MATCH($D249,INVENTARIO!$B$7:$B$26,0))*1,0))</f>
        <v/>
      </c>
      <c r="O249" s="112">
        <f>IF($D249="","",N($F249)*$N249)</f>
        <v/>
      </c>
      <c r="P249" s="114">
        <f>IF($D249="","",$M249-$O249)</f>
        <v/>
      </c>
      <c r="Q249" s="115">
        <f>IF($D249="","",IF($I249&gt;0,$P249/$I249,""))</f>
        <v/>
      </c>
      <c r="R249" s="127" t="n"/>
    </row>
    <row r="250">
      <c r="B250" s="130" t="n"/>
      <c r="C250" s="100" t="n"/>
      <c r="D250" s="100" t="n"/>
      <c r="E250" s="96">
        <f>IF($D250="","",IFERROR(INDEX(INVENTARIO!$C$7:$C$26,MATCH($D250,INVENTARIO!$B$7:$B$26,0)),"⚠ ID no existe"))</f>
        <v/>
      </c>
      <c r="F250" s="128" t="n"/>
      <c r="G250" s="129" t="n"/>
      <c r="H250" s="112">
        <f>IF($D250="","",IF($G250="",IFERROR(INDEX(INVENTARIO!$N$7:$N$26,MATCH($D250,INVENTARIO!$B$7:$B$26,0)),""),$G250))</f>
        <v/>
      </c>
      <c r="I250" s="114">
        <f>IF($D250="","",N($F250)*IF(ISNUMBER($H250),$H250,0))</f>
        <v/>
      </c>
      <c r="J250" s="115">
        <f>IF($D250="","",IFERROR(IF(INDEX(INVENTARIO!$O$7:$O$26,MATCH($D250,INVENTARIO!$B$7:$B$26,0))="",CFG_WALMART,INDEX(INVENTARIO!$O$7:$O$26,MATCH($D250,INVENTARIO!$B$7:$B$26,0))),CFG_WALMART))</f>
        <v/>
      </c>
      <c r="K250" s="112">
        <f>IF($D250="","",$I250*$J250)</f>
        <v/>
      </c>
      <c r="L250" s="129" t="n"/>
      <c r="M250" s="114">
        <f>IF($D250="","",$I250-$K250-N($L250))</f>
        <v/>
      </c>
      <c r="N250" s="113">
        <f>IF($D250="","",IFERROR(INDEX(INVENTARIO!$L$7:$L$26,MATCH($D250,INVENTARIO!$B$7:$B$26,0))*1,0))</f>
        <v/>
      </c>
      <c r="O250" s="112">
        <f>IF($D250="","",N($F250)*$N250)</f>
        <v/>
      </c>
      <c r="P250" s="114">
        <f>IF($D250="","",$M250-$O250)</f>
        <v/>
      </c>
      <c r="Q250" s="115">
        <f>IF($D250="","",IF($I250&gt;0,$P250/$I250,""))</f>
        <v/>
      </c>
      <c r="R250" s="127" t="n"/>
    </row>
    <row r="251">
      <c r="B251" s="130" t="n"/>
      <c r="C251" s="100" t="n"/>
      <c r="D251" s="100" t="n"/>
      <c r="E251" s="96">
        <f>IF($D251="","",IFERROR(INDEX(INVENTARIO!$C$7:$C$26,MATCH($D251,INVENTARIO!$B$7:$B$26,0)),"⚠ ID no existe"))</f>
        <v/>
      </c>
      <c r="F251" s="128" t="n"/>
      <c r="G251" s="129" t="n"/>
      <c r="H251" s="112">
        <f>IF($D251="","",IF($G251="",IFERROR(INDEX(INVENTARIO!$N$7:$N$26,MATCH($D251,INVENTARIO!$B$7:$B$26,0)),""),$G251))</f>
        <v/>
      </c>
      <c r="I251" s="114">
        <f>IF($D251="","",N($F251)*IF(ISNUMBER($H251),$H251,0))</f>
        <v/>
      </c>
      <c r="J251" s="115">
        <f>IF($D251="","",IFERROR(IF(INDEX(INVENTARIO!$O$7:$O$26,MATCH($D251,INVENTARIO!$B$7:$B$26,0))="",CFG_WALMART,INDEX(INVENTARIO!$O$7:$O$26,MATCH($D251,INVENTARIO!$B$7:$B$26,0))),CFG_WALMART))</f>
        <v/>
      </c>
      <c r="K251" s="112">
        <f>IF($D251="","",$I251*$J251)</f>
        <v/>
      </c>
      <c r="L251" s="129" t="n"/>
      <c r="M251" s="114">
        <f>IF($D251="","",$I251-$K251-N($L251))</f>
        <v/>
      </c>
      <c r="N251" s="113">
        <f>IF($D251="","",IFERROR(INDEX(INVENTARIO!$L$7:$L$26,MATCH($D251,INVENTARIO!$B$7:$B$26,0))*1,0))</f>
        <v/>
      </c>
      <c r="O251" s="112">
        <f>IF($D251="","",N($F251)*$N251)</f>
        <v/>
      </c>
      <c r="P251" s="114">
        <f>IF($D251="","",$M251-$O251)</f>
        <v/>
      </c>
      <c r="Q251" s="115">
        <f>IF($D251="","",IF($I251&gt;0,$P251/$I251,""))</f>
        <v/>
      </c>
      <c r="R251" s="127" t="n"/>
    </row>
    <row r="252">
      <c r="B252" s="130" t="n"/>
      <c r="C252" s="100" t="n"/>
      <c r="D252" s="100" t="n"/>
      <c r="E252" s="96">
        <f>IF($D252="","",IFERROR(INDEX(INVENTARIO!$C$7:$C$26,MATCH($D252,INVENTARIO!$B$7:$B$26,0)),"⚠ ID no existe"))</f>
        <v/>
      </c>
      <c r="F252" s="128" t="n"/>
      <c r="G252" s="129" t="n"/>
      <c r="H252" s="112">
        <f>IF($D252="","",IF($G252="",IFERROR(INDEX(INVENTARIO!$N$7:$N$26,MATCH($D252,INVENTARIO!$B$7:$B$26,0)),""),$G252))</f>
        <v/>
      </c>
      <c r="I252" s="114">
        <f>IF($D252="","",N($F252)*IF(ISNUMBER($H252),$H252,0))</f>
        <v/>
      </c>
      <c r="J252" s="115">
        <f>IF($D252="","",IFERROR(IF(INDEX(INVENTARIO!$O$7:$O$26,MATCH($D252,INVENTARIO!$B$7:$B$26,0))="",CFG_WALMART,INDEX(INVENTARIO!$O$7:$O$26,MATCH($D252,INVENTARIO!$B$7:$B$26,0))),CFG_WALMART))</f>
        <v/>
      </c>
      <c r="K252" s="112">
        <f>IF($D252="","",$I252*$J252)</f>
        <v/>
      </c>
      <c r="L252" s="129" t="n"/>
      <c r="M252" s="114">
        <f>IF($D252="","",$I252-$K252-N($L252))</f>
        <v/>
      </c>
      <c r="N252" s="113">
        <f>IF($D252="","",IFERROR(INDEX(INVENTARIO!$L$7:$L$26,MATCH($D252,INVENTARIO!$B$7:$B$26,0))*1,0))</f>
        <v/>
      </c>
      <c r="O252" s="112">
        <f>IF($D252="","",N($F252)*$N252)</f>
        <v/>
      </c>
      <c r="P252" s="114">
        <f>IF($D252="","",$M252-$O252)</f>
        <v/>
      </c>
      <c r="Q252" s="115">
        <f>IF($D252="","",IF($I252&gt;0,$P252/$I252,""))</f>
        <v/>
      </c>
      <c r="R252" s="127" t="n"/>
    </row>
    <row r="253">
      <c r="B253" s="130" t="n"/>
      <c r="C253" s="100" t="n"/>
      <c r="D253" s="100" t="n"/>
      <c r="E253" s="96">
        <f>IF($D253="","",IFERROR(INDEX(INVENTARIO!$C$7:$C$26,MATCH($D253,INVENTARIO!$B$7:$B$26,0)),"⚠ ID no existe"))</f>
        <v/>
      </c>
      <c r="F253" s="128" t="n"/>
      <c r="G253" s="129" t="n"/>
      <c r="H253" s="112">
        <f>IF($D253="","",IF($G253="",IFERROR(INDEX(INVENTARIO!$N$7:$N$26,MATCH($D253,INVENTARIO!$B$7:$B$26,0)),""),$G253))</f>
        <v/>
      </c>
      <c r="I253" s="114">
        <f>IF($D253="","",N($F253)*IF(ISNUMBER($H253),$H253,0))</f>
        <v/>
      </c>
      <c r="J253" s="115">
        <f>IF($D253="","",IFERROR(IF(INDEX(INVENTARIO!$O$7:$O$26,MATCH($D253,INVENTARIO!$B$7:$B$26,0))="",CFG_WALMART,INDEX(INVENTARIO!$O$7:$O$26,MATCH($D253,INVENTARIO!$B$7:$B$26,0))),CFG_WALMART))</f>
        <v/>
      </c>
      <c r="K253" s="112">
        <f>IF($D253="","",$I253*$J253)</f>
        <v/>
      </c>
      <c r="L253" s="129" t="n"/>
      <c r="M253" s="114">
        <f>IF($D253="","",$I253-$K253-N($L253))</f>
        <v/>
      </c>
      <c r="N253" s="113">
        <f>IF($D253="","",IFERROR(INDEX(INVENTARIO!$L$7:$L$26,MATCH($D253,INVENTARIO!$B$7:$B$26,0))*1,0))</f>
        <v/>
      </c>
      <c r="O253" s="112">
        <f>IF($D253="","",N($F253)*$N253)</f>
        <v/>
      </c>
      <c r="P253" s="114">
        <f>IF($D253="","",$M253-$O253)</f>
        <v/>
      </c>
      <c r="Q253" s="115">
        <f>IF($D253="","",IF($I253&gt;0,$P253/$I253,""))</f>
        <v/>
      </c>
      <c r="R253" s="127" t="n"/>
    </row>
    <row r="254">
      <c r="B254" s="130" t="n"/>
      <c r="C254" s="100" t="n"/>
      <c r="D254" s="100" t="n"/>
      <c r="E254" s="96">
        <f>IF($D254="","",IFERROR(INDEX(INVENTARIO!$C$7:$C$26,MATCH($D254,INVENTARIO!$B$7:$B$26,0)),"⚠ ID no existe"))</f>
        <v/>
      </c>
      <c r="F254" s="128" t="n"/>
      <c r="G254" s="129" t="n"/>
      <c r="H254" s="112">
        <f>IF($D254="","",IF($G254="",IFERROR(INDEX(INVENTARIO!$N$7:$N$26,MATCH($D254,INVENTARIO!$B$7:$B$26,0)),""),$G254))</f>
        <v/>
      </c>
      <c r="I254" s="114">
        <f>IF($D254="","",N($F254)*IF(ISNUMBER($H254),$H254,0))</f>
        <v/>
      </c>
      <c r="J254" s="115">
        <f>IF($D254="","",IFERROR(IF(INDEX(INVENTARIO!$O$7:$O$26,MATCH($D254,INVENTARIO!$B$7:$B$26,0))="",CFG_WALMART,INDEX(INVENTARIO!$O$7:$O$26,MATCH($D254,INVENTARIO!$B$7:$B$26,0))),CFG_WALMART))</f>
        <v/>
      </c>
      <c r="K254" s="112">
        <f>IF($D254="","",$I254*$J254)</f>
        <v/>
      </c>
      <c r="L254" s="129" t="n"/>
      <c r="M254" s="114">
        <f>IF($D254="","",$I254-$K254-N($L254))</f>
        <v/>
      </c>
      <c r="N254" s="113">
        <f>IF($D254="","",IFERROR(INDEX(INVENTARIO!$L$7:$L$26,MATCH($D254,INVENTARIO!$B$7:$B$26,0))*1,0))</f>
        <v/>
      </c>
      <c r="O254" s="112">
        <f>IF($D254="","",N($F254)*$N254)</f>
        <v/>
      </c>
      <c r="P254" s="114">
        <f>IF($D254="","",$M254-$O254)</f>
        <v/>
      </c>
      <c r="Q254" s="115">
        <f>IF($D254="","",IF($I254&gt;0,$P254/$I254,""))</f>
        <v/>
      </c>
      <c r="R254" s="127" t="n"/>
    </row>
    <row r="255">
      <c r="B255" s="130" t="n"/>
      <c r="C255" s="100" t="n"/>
      <c r="D255" s="100" t="n"/>
      <c r="E255" s="96">
        <f>IF($D255="","",IFERROR(INDEX(INVENTARIO!$C$7:$C$26,MATCH($D255,INVENTARIO!$B$7:$B$26,0)),"⚠ ID no existe"))</f>
        <v/>
      </c>
      <c r="F255" s="128" t="n"/>
      <c r="G255" s="129" t="n"/>
      <c r="H255" s="112">
        <f>IF($D255="","",IF($G255="",IFERROR(INDEX(INVENTARIO!$N$7:$N$26,MATCH($D255,INVENTARIO!$B$7:$B$26,0)),""),$G255))</f>
        <v/>
      </c>
      <c r="I255" s="114">
        <f>IF($D255="","",N($F255)*IF(ISNUMBER($H255),$H255,0))</f>
        <v/>
      </c>
      <c r="J255" s="115">
        <f>IF($D255="","",IFERROR(IF(INDEX(INVENTARIO!$O$7:$O$26,MATCH($D255,INVENTARIO!$B$7:$B$26,0))="",CFG_WALMART,INDEX(INVENTARIO!$O$7:$O$26,MATCH($D255,INVENTARIO!$B$7:$B$26,0))),CFG_WALMART))</f>
        <v/>
      </c>
      <c r="K255" s="112">
        <f>IF($D255="","",$I255*$J255)</f>
        <v/>
      </c>
      <c r="L255" s="129" t="n"/>
      <c r="M255" s="114">
        <f>IF($D255="","",$I255-$K255-N($L255))</f>
        <v/>
      </c>
      <c r="N255" s="113">
        <f>IF($D255="","",IFERROR(INDEX(INVENTARIO!$L$7:$L$26,MATCH($D255,INVENTARIO!$B$7:$B$26,0))*1,0))</f>
        <v/>
      </c>
      <c r="O255" s="112">
        <f>IF($D255="","",N($F255)*$N255)</f>
        <v/>
      </c>
      <c r="P255" s="114">
        <f>IF($D255="","",$M255-$O255)</f>
        <v/>
      </c>
      <c r="Q255" s="115">
        <f>IF($D255="","",IF($I255&gt;0,$P255/$I255,""))</f>
        <v/>
      </c>
      <c r="R255" s="127" t="n"/>
    </row>
    <row r="256">
      <c r="B256" s="130" t="n"/>
      <c r="C256" s="100" t="n"/>
      <c r="D256" s="100" t="n"/>
      <c r="E256" s="96">
        <f>IF($D256="","",IFERROR(INDEX(INVENTARIO!$C$7:$C$26,MATCH($D256,INVENTARIO!$B$7:$B$26,0)),"⚠ ID no existe"))</f>
        <v/>
      </c>
      <c r="F256" s="128" t="n"/>
      <c r="G256" s="129" t="n"/>
      <c r="H256" s="112">
        <f>IF($D256="","",IF($G256="",IFERROR(INDEX(INVENTARIO!$N$7:$N$26,MATCH($D256,INVENTARIO!$B$7:$B$26,0)),""),$G256))</f>
        <v/>
      </c>
      <c r="I256" s="114">
        <f>IF($D256="","",N($F256)*IF(ISNUMBER($H256),$H256,0))</f>
        <v/>
      </c>
      <c r="J256" s="115">
        <f>IF($D256="","",IFERROR(IF(INDEX(INVENTARIO!$O$7:$O$26,MATCH($D256,INVENTARIO!$B$7:$B$26,0))="",CFG_WALMART,INDEX(INVENTARIO!$O$7:$O$26,MATCH($D256,INVENTARIO!$B$7:$B$26,0))),CFG_WALMART))</f>
        <v/>
      </c>
      <c r="K256" s="112">
        <f>IF($D256="","",$I256*$J256)</f>
        <v/>
      </c>
      <c r="L256" s="129" t="n"/>
      <c r="M256" s="114">
        <f>IF($D256="","",$I256-$K256-N($L256))</f>
        <v/>
      </c>
      <c r="N256" s="113">
        <f>IF($D256="","",IFERROR(INDEX(INVENTARIO!$L$7:$L$26,MATCH($D256,INVENTARIO!$B$7:$B$26,0))*1,0))</f>
        <v/>
      </c>
      <c r="O256" s="112">
        <f>IF($D256="","",N($F256)*$N256)</f>
        <v/>
      </c>
      <c r="P256" s="114">
        <f>IF($D256="","",$M256-$O256)</f>
        <v/>
      </c>
      <c r="Q256" s="115">
        <f>IF($D256="","",IF($I256&gt;0,$P256/$I256,""))</f>
        <v/>
      </c>
      <c r="R256" s="127" t="n"/>
    </row>
    <row r="257">
      <c r="B257" s="130" t="n"/>
      <c r="C257" s="100" t="n"/>
      <c r="D257" s="100" t="n"/>
      <c r="E257" s="96">
        <f>IF($D257="","",IFERROR(INDEX(INVENTARIO!$C$7:$C$26,MATCH($D257,INVENTARIO!$B$7:$B$26,0)),"⚠ ID no existe"))</f>
        <v/>
      </c>
      <c r="F257" s="128" t="n"/>
      <c r="G257" s="129" t="n"/>
      <c r="H257" s="112">
        <f>IF($D257="","",IF($G257="",IFERROR(INDEX(INVENTARIO!$N$7:$N$26,MATCH($D257,INVENTARIO!$B$7:$B$26,0)),""),$G257))</f>
        <v/>
      </c>
      <c r="I257" s="114">
        <f>IF($D257="","",N($F257)*IF(ISNUMBER($H257),$H257,0))</f>
        <v/>
      </c>
      <c r="J257" s="115">
        <f>IF($D257="","",IFERROR(IF(INDEX(INVENTARIO!$O$7:$O$26,MATCH($D257,INVENTARIO!$B$7:$B$26,0))="",CFG_WALMART,INDEX(INVENTARIO!$O$7:$O$26,MATCH($D257,INVENTARIO!$B$7:$B$26,0))),CFG_WALMART))</f>
        <v/>
      </c>
      <c r="K257" s="112">
        <f>IF($D257="","",$I257*$J257)</f>
        <v/>
      </c>
      <c r="L257" s="129" t="n"/>
      <c r="M257" s="114">
        <f>IF($D257="","",$I257-$K257-N($L257))</f>
        <v/>
      </c>
      <c r="N257" s="113">
        <f>IF($D257="","",IFERROR(INDEX(INVENTARIO!$L$7:$L$26,MATCH($D257,INVENTARIO!$B$7:$B$26,0))*1,0))</f>
        <v/>
      </c>
      <c r="O257" s="112">
        <f>IF($D257="","",N($F257)*$N257)</f>
        <v/>
      </c>
      <c r="P257" s="114">
        <f>IF($D257="","",$M257-$O257)</f>
        <v/>
      </c>
      <c r="Q257" s="115">
        <f>IF($D257="","",IF($I257&gt;0,$P257/$I257,""))</f>
        <v/>
      </c>
      <c r="R257" s="127" t="n"/>
    </row>
    <row r="258">
      <c r="B258" s="130" t="n"/>
      <c r="C258" s="100" t="n"/>
      <c r="D258" s="100" t="n"/>
      <c r="E258" s="96">
        <f>IF($D258="","",IFERROR(INDEX(INVENTARIO!$C$7:$C$26,MATCH($D258,INVENTARIO!$B$7:$B$26,0)),"⚠ ID no existe"))</f>
        <v/>
      </c>
      <c r="F258" s="128" t="n"/>
      <c r="G258" s="129" t="n"/>
      <c r="H258" s="112">
        <f>IF($D258="","",IF($G258="",IFERROR(INDEX(INVENTARIO!$N$7:$N$26,MATCH($D258,INVENTARIO!$B$7:$B$26,0)),""),$G258))</f>
        <v/>
      </c>
      <c r="I258" s="114">
        <f>IF($D258="","",N($F258)*IF(ISNUMBER($H258),$H258,0))</f>
        <v/>
      </c>
      <c r="J258" s="115">
        <f>IF($D258="","",IFERROR(IF(INDEX(INVENTARIO!$O$7:$O$26,MATCH($D258,INVENTARIO!$B$7:$B$26,0))="",CFG_WALMART,INDEX(INVENTARIO!$O$7:$O$26,MATCH($D258,INVENTARIO!$B$7:$B$26,0))),CFG_WALMART))</f>
        <v/>
      </c>
      <c r="K258" s="112">
        <f>IF($D258="","",$I258*$J258)</f>
        <v/>
      </c>
      <c r="L258" s="129" t="n"/>
      <c r="M258" s="114">
        <f>IF($D258="","",$I258-$K258-N($L258))</f>
        <v/>
      </c>
      <c r="N258" s="113">
        <f>IF($D258="","",IFERROR(INDEX(INVENTARIO!$L$7:$L$26,MATCH($D258,INVENTARIO!$B$7:$B$26,0))*1,0))</f>
        <v/>
      </c>
      <c r="O258" s="112">
        <f>IF($D258="","",N($F258)*$N258)</f>
        <v/>
      </c>
      <c r="P258" s="114">
        <f>IF($D258="","",$M258-$O258)</f>
        <v/>
      </c>
      <c r="Q258" s="115">
        <f>IF($D258="","",IF($I258&gt;0,$P258/$I258,""))</f>
        <v/>
      </c>
      <c r="R258" s="127" t="n"/>
    </row>
    <row r="259">
      <c r="B259" s="130" t="n"/>
      <c r="C259" s="100" t="n"/>
      <c r="D259" s="100" t="n"/>
      <c r="E259" s="96">
        <f>IF($D259="","",IFERROR(INDEX(INVENTARIO!$C$7:$C$26,MATCH($D259,INVENTARIO!$B$7:$B$26,0)),"⚠ ID no existe"))</f>
        <v/>
      </c>
      <c r="F259" s="128" t="n"/>
      <c r="G259" s="129" t="n"/>
      <c r="H259" s="112">
        <f>IF($D259="","",IF($G259="",IFERROR(INDEX(INVENTARIO!$N$7:$N$26,MATCH($D259,INVENTARIO!$B$7:$B$26,0)),""),$G259))</f>
        <v/>
      </c>
      <c r="I259" s="114">
        <f>IF($D259="","",N($F259)*IF(ISNUMBER($H259),$H259,0))</f>
        <v/>
      </c>
      <c r="J259" s="115">
        <f>IF($D259="","",IFERROR(IF(INDEX(INVENTARIO!$O$7:$O$26,MATCH($D259,INVENTARIO!$B$7:$B$26,0))="",CFG_WALMART,INDEX(INVENTARIO!$O$7:$O$26,MATCH($D259,INVENTARIO!$B$7:$B$26,0))),CFG_WALMART))</f>
        <v/>
      </c>
      <c r="K259" s="112">
        <f>IF($D259="","",$I259*$J259)</f>
        <v/>
      </c>
      <c r="L259" s="129" t="n"/>
      <c r="M259" s="114">
        <f>IF($D259="","",$I259-$K259-N($L259))</f>
        <v/>
      </c>
      <c r="N259" s="113">
        <f>IF($D259="","",IFERROR(INDEX(INVENTARIO!$L$7:$L$26,MATCH($D259,INVENTARIO!$B$7:$B$26,0))*1,0))</f>
        <v/>
      </c>
      <c r="O259" s="112">
        <f>IF($D259="","",N($F259)*$N259)</f>
        <v/>
      </c>
      <c r="P259" s="114">
        <f>IF($D259="","",$M259-$O259)</f>
        <v/>
      </c>
      <c r="Q259" s="115">
        <f>IF($D259="","",IF($I259&gt;0,$P259/$I259,""))</f>
        <v/>
      </c>
      <c r="R259" s="127" t="n"/>
    </row>
    <row r="260">
      <c r="B260" s="130" t="n"/>
      <c r="C260" s="100" t="n"/>
      <c r="D260" s="100" t="n"/>
      <c r="E260" s="96">
        <f>IF($D260="","",IFERROR(INDEX(INVENTARIO!$C$7:$C$26,MATCH($D260,INVENTARIO!$B$7:$B$26,0)),"⚠ ID no existe"))</f>
        <v/>
      </c>
      <c r="F260" s="128" t="n"/>
      <c r="G260" s="129" t="n"/>
      <c r="H260" s="112">
        <f>IF($D260="","",IF($G260="",IFERROR(INDEX(INVENTARIO!$N$7:$N$26,MATCH($D260,INVENTARIO!$B$7:$B$26,0)),""),$G260))</f>
        <v/>
      </c>
      <c r="I260" s="114">
        <f>IF($D260="","",N($F260)*IF(ISNUMBER($H260),$H260,0))</f>
        <v/>
      </c>
      <c r="J260" s="115">
        <f>IF($D260="","",IFERROR(IF(INDEX(INVENTARIO!$O$7:$O$26,MATCH($D260,INVENTARIO!$B$7:$B$26,0))="",CFG_WALMART,INDEX(INVENTARIO!$O$7:$O$26,MATCH($D260,INVENTARIO!$B$7:$B$26,0))),CFG_WALMART))</f>
        <v/>
      </c>
      <c r="K260" s="112">
        <f>IF($D260="","",$I260*$J260)</f>
        <v/>
      </c>
      <c r="L260" s="129" t="n"/>
      <c r="M260" s="114">
        <f>IF($D260="","",$I260-$K260-N($L260))</f>
        <v/>
      </c>
      <c r="N260" s="113">
        <f>IF($D260="","",IFERROR(INDEX(INVENTARIO!$L$7:$L$26,MATCH($D260,INVENTARIO!$B$7:$B$26,0))*1,0))</f>
        <v/>
      </c>
      <c r="O260" s="112">
        <f>IF($D260="","",N($F260)*$N260)</f>
        <v/>
      </c>
      <c r="P260" s="114">
        <f>IF($D260="","",$M260-$O260)</f>
        <v/>
      </c>
      <c r="Q260" s="115">
        <f>IF($D260="","",IF($I260&gt;0,$P260/$I260,""))</f>
        <v/>
      </c>
      <c r="R260" s="127" t="n"/>
    </row>
    <row r="261">
      <c r="B261" s="130" t="n"/>
      <c r="C261" s="100" t="n"/>
      <c r="D261" s="100" t="n"/>
      <c r="E261" s="96">
        <f>IF($D261="","",IFERROR(INDEX(INVENTARIO!$C$7:$C$26,MATCH($D261,INVENTARIO!$B$7:$B$26,0)),"⚠ ID no existe"))</f>
        <v/>
      </c>
      <c r="F261" s="128" t="n"/>
      <c r="G261" s="129" t="n"/>
      <c r="H261" s="112">
        <f>IF($D261="","",IF($G261="",IFERROR(INDEX(INVENTARIO!$N$7:$N$26,MATCH($D261,INVENTARIO!$B$7:$B$26,0)),""),$G261))</f>
        <v/>
      </c>
      <c r="I261" s="114">
        <f>IF($D261="","",N($F261)*IF(ISNUMBER($H261),$H261,0))</f>
        <v/>
      </c>
      <c r="J261" s="115">
        <f>IF($D261="","",IFERROR(IF(INDEX(INVENTARIO!$O$7:$O$26,MATCH($D261,INVENTARIO!$B$7:$B$26,0))="",CFG_WALMART,INDEX(INVENTARIO!$O$7:$O$26,MATCH($D261,INVENTARIO!$B$7:$B$26,0))),CFG_WALMART))</f>
        <v/>
      </c>
      <c r="K261" s="112">
        <f>IF($D261="","",$I261*$J261)</f>
        <v/>
      </c>
      <c r="L261" s="129" t="n"/>
      <c r="M261" s="114">
        <f>IF($D261="","",$I261-$K261-N($L261))</f>
        <v/>
      </c>
      <c r="N261" s="113">
        <f>IF($D261="","",IFERROR(INDEX(INVENTARIO!$L$7:$L$26,MATCH($D261,INVENTARIO!$B$7:$B$26,0))*1,0))</f>
        <v/>
      </c>
      <c r="O261" s="112">
        <f>IF($D261="","",N($F261)*$N261)</f>
        <v/>
      </c>
      <c r="P261" s="114">
        <f>IF($D261="","",$M261-$O261)</f>
        <v/>
      </c>
      <c r="Q261" s="115">
        <f>IF($D261="","",IF($I261&gt;0,$P261/$I261,""))</f>
        <v/>
      </c>
      <c r="R261" s="127" t="n"/>
    </row>
    <row r="262">
      <c r="B262" s="130" t="n"/>
      <c r="C262" s="100" t="n"/>
      <c r="D262" s="100" t="n"/>
      <c r="E262" s="96">
        <f>IF($D262="","",IFERROR(INDEX(INVENTARIO!$C$7:$C$26,MATCH($D262,INVENTARIO!$B$7:$B$26,0)),"⚠ ID no existe"))</f>
        <v/>
      </c>
      <c r="F262" s="128" t="n"/>
      <c r="G262" s="129" t="n"/>
      <c r="H262" s="112">
        <f>IF($D262="","",IF($G262="",IFERROR(INDEX(INVENTARIO!$N$7:$N$26,MATCH($D262,INVENTARIO!$B$7:$B$26,0)),""),$G262))</f>
        <v/>
      </c>
      <c r="I262" s="114">
        <f>IF($D262="","",N($F262)*IF(ISNUMBER($H262),$H262,0))</f>
        <v/>
      </c>
      <c r="J262" s="115">
        <f>IF($D262="","",IFERROR(IF(INDEX(INVENTARIO!$O$7:$O$26,MATCH($D262,INVENTARIO!$B$7:$B$26,0))="",CFG_WALMART,INDEX(INVENTARIO!$O$7:$O$26,MATCH($D262,INVENTARIO!$B$7:$B$26,0))),CFG_WALMART))</f>
        <v/>
      </c>
      <c r="K262" s="112">
        <f>IF($D262="","",$I262*$J262)</f>
        <v/>
      </c>
      <c r="L262" s="129" t="n"/>
      <c r="M262" s="114">
        <f>IF($D262="","",$I262-$K262-N($L262))</f>
        <v/>
      </c>
      <c r="N262" s="113">
        <f>IF($D262="","",IFERROR(INDEX(INVENTARIO!$L$7:$L$26,MATCH($D262,INVENTARIO!$B$7:$B$26,0))*1,0))</f>
        <v/>
      </c>
      <c r="O262" s="112">
        <f>IF($D262="","",N($F262)*$N262)</f>
        <v/>
      </c>
      <c r="P262" s="114">
        <f>IF($D262="","",$M262-$O262)</f>
        <v/>
      </c>
      <c r="Q262" s="115">
        <f>IF($D262="","",IF($I262&gt;0,$P262/$I262,""))</f>
        <v/>
      </c>
      <c r="R262" s="127" t="n"/>
    </row>
    <row r="263">
      <c r="B263" s="130" t="n"/>
      <c r="C263" s="100" t="n"/>
      <c r="D263" s="100" t="n"/>
      <c r="E263" s="96">
        <f>IF($D263="","",IFERROR(INDEX(INVENTARIO!$C$7:$C$26,MATCH($D263,INVENTARIO!$B$7:$B$26,0)),"⚠ ID no existe"))</f>
        <v/>
      </c>
      <c r="F263" s="128" t="n"/>
      <c r="G263" s="129" t="n"/>
      <c r="H263" s="112">
        <f>IF($D263="","",IF($G263="",IFERROR(INDEX(INVENTARIO!$N$7:$N$26,MATCH($D263,INVENTARIO!$B$7:$B$26,0)),""),$G263))</f>
        <v/>
      </c>
      <c r="I263" s="114">
        <f>IF($D263="","",N($F263)*IF(ISNUMBER($H263),$H263,0))</f>
        <v/>
      </c>
      <c r="J263" s="115">
        <f>IF($D263="","",IFERROR(IF(INDEX(INVENTARIO!$O$7:$O$26,MATCH($D263,INVENTARIO!$B$7:$B$26,0))="",CFG_WALMART,INDEX(INVENTARIO!$O$7:$O$26,MATCH($D263,INVENTARIO!$B$7:$B$26,0))),CFG_WALMART))</f>
        <v/>
      </c>
      <c r="K263" s="112">
        <f>IF($D263="","",$I263*$J263)</f>
        <v/>
      </c>
      <c r="L263" s="129" t="n"/>
      <c r="M263" s="114">
        <f>IF($D263="","",$I263-$K263-N($L263))</f>
        <v/>
      </c>
      <c r="N263" s="113">
        <f>IF($D263="","",IFERROR(INDEX(INVENTARIO!$L$7:$L$26,MATCH($D263,INVENTARIO!$B$7:$B$26,0))*1,0))</f>
        <v/>
      </c>
      <c r="O263" s="112">
        <f>IF($D263="","",N($F263)*$N263)</f>
        <v/>
      </c>
      <c r="P263" s="114">
        <f>IF($D263="","",$M263-$O263)</f>
        <v/>
      </c>
      <c r="Q263" s="115">
        <f>IF($D263="","",IF($I263&gt;0,$P263/$I263,""))</f>
        <v/>
      </c>
      <c r="R263" s="127" t="n"/>
    </row>
    <row r="264">
      <c r="B264" s="130" t="n"/>
      <c r="C264" s="100" t="n"/>
      <c r="D264" s="100" t="n"/>
      <c r="E264" s="96">
        <f>IF($D264="","",IFERROR(INDEX(INVENTARIO!$C$7:$C$26,MATCH($D264,INVENTARIO!$B$7:$B$26,0)),"⚠ ID no existe"))</f>
        <v/>
      </c>
      <c r="F264" s="128" t="n"/>
      <c r="G264" s="129" t="n"/>
      <c r="H264" s="112">
        <f>IF($D264="","",IF($G264="",IFERROR(INDEX(INVENTARIO!$N$7:$N$26,MATCH($D264,INVENTARIO!$B$7:$B$26,0)),""),$G264))</f>
        <v/>
      </c>
      <c r="I264" s="114">
        <f>IF($D264="","",N($F264)*IF(ISNUMBER($H264),$H264,0))</f>
        <v/>
      </c>
      <c r="J264" s="115">
        <f>IF($D264="","",IFERROR(IF(INDEX(INVENTARIO!$O$7:$O$26,MATCH($D264,INVENTARIO!$B$7:$B$26,0))="",CFG_WALMART,INDEX(INVENTARIO!$O$7:$O$26,MATCH($D264,INVENTARIO!$B$7:$B$26,0))),CFG_WALMART))</f>
        <v/>
      </c>
      <c r="K264" s="112">
        <f>IF($D264="","",$I264*$J264)</f>
        <v/>
      </c>
      <c r="L264" s="129" t="n"/>
      <c r="M264" s="114">
        <f>IF($D264="","",$I264-$K264-N($L264))</f>
        <v/>
      </c>
      <c r="N264" s="113">
        <f>IF($D264="","",IFERROR(INDEX(INVENTARIO!$L$7:$L$26,MATCH($D264,INVENTARIO!$B$7:$B$26,0))*1,0))</f>
        <v/>
      </c>
      <c r="O264" s="112">
        <f>IF($D264="","",N($F264)*$N264)</f>
        <v/>
      </c>
      <c r="P264" s="114">
        <f>IF($D264="","",$M264-$O264)</f>
        <v/>
      </c>
      <c r="Q264" s="115">
        <f>IF($D264="","",IF($I264&gt;0,$P264/$I264,""))</f>
        <v/>
      </c>
      <c r="R264" s="127" t="n"/>
    </row>
    <row r="265">
      <c r="B265" s="130" t="n"/>
      <c r="C265" s="100" t="n"/>
      <c r="D265" s="100" t="n"/>
      <c r="E265" s="96">
        <f>IF($D265="","",IFERROR(INDEX(INVENTARIO!$C$7:$C$26,MATCH($D265,INVENTARIO!$B$7:$B$26,0)),"⚠ ID no existe"))</f>
        <v/>
      </c>
      <c r="F265" s="128" t="n"/>
      <c r="G265" s="129" t="n"/>
      <c r="H265" s="112">
        <f>IF($D265="","",IF($G265="",IFERROR(INDEX(INVENTARIO!$N$7:$N$26,MATCH($D265,INVENTARIO!$B$7:$B$26,0)),""),$G265))</f>
        <v/>
      </c>
      <c r="I265" s="114">
        <f>IF($D265="","",N($F265)*IF(ISNUMBER($H265),$H265,0))</f>
        <v/>
      </c>
      <c r="J265" s="115">
        <f>IF($D265="","",IFERROR(IF(INDEX(INVENTARIO!$O$7:$O$26,MATCH($D265,INVENTARIO!$B$7:$B$26,0))="",CFG_WALMART,INDEX(INVENTARIO!$O$7:$O$26,MATCH($D265,INVENTARIO!$B$7:$B$26,0))),CFG_WALMART))</f>
        <v/>
      </c>
      <c r="K265" s="112">
        <f>IF($D265="","",$I265*$J265)</f>
        <v/>
      </c>
      <c r="L265" s="129" t="n"/>
      <c r="M265" s="114">
        <f>IF($D265="","",$I265-$K265-N($L265))</f>
        <v/>
      </c>
      <c r="N265" s="113">
        <f>IF($D265="","",IFERROR(INDEX(INVENTARIO!$L$7:$L$26,MATCH($D265,INVENTARIO!$B$7:$B$26,0))*1,0))</f>
        <v/>
      </c>
      <c r="O265" s="112">
        <f>IF($D265="","",N($F265)*$N265)</f>
        <v/>
      </c>
      <c r="P265" s="114">
        <f>IF($D265="","",$M265-$O265)</f>
        <v/>
      </c>
      <c r="Q265" s="115">
        <f>IF($D265="","",IF($I265&gt;0,$P265/$I265,""))</f>
        <v/>
      </c>
      <c r="R265" s="127" t="n"/>
    </row>
    <row r="266">
      <c r="B266" s="130" t="n"/>
      <c r="C266" s="100" t="n"/>
      <c r="D266" s="100" t="n"/>
      <c r="E266" s="96">
        <f>IF($D266="","",IFERROR(INDEX(INVENTARIO!$C$7:$C$26,MATCH($D266,INVENTARIO!$B$7:$B$26,0)),"⚠ ID no existe"))</f>
        <v/>
      </c>
      <c r="F266" s="128" t="n"/>
      <c r="G266" s="129" t="n"/>
      <c r="H266" s="112">
        <f>IF($D266="","",IF($G266="",IFERROR(INDEX(INVENTARIO!$N$7:$N$26,MATCH($D266,INVENTARIO!$B$7:$B$26,0)),""),$G266))</f>
        <v/>
      </c>
      <c r="I266" s="114">
        <f>IF($D266="","",N($F266)*IF(ISNUMBER($H266),$H266,0))</f>
        <v/>
      </c>
      <c r="J266" s="115">
        <f>IF($D266="","",IFERROR(IF(INDEX(INVENTARIO!$O$7:$O$26,MATCH($D266,INVENTARIO!$B$7:$B$26,0))="",CFG_WALMART,INDEX(INVENTARIO!$O$7:$O$26,MATCH($D266,INVENTARIO!$B$7:$B$26,0))),CFG_WALMART))</f>
        <v/>
      </c>
      <c r="K266" s="112">
        <f>IF($D266="","",$I266*$J266)</f>
        <v/>
      </c>
      <c r="L266" s="129" t="n"/>
      <c r="M266" s="114">
        <f>IF($D266="","",$I266-$K266-N($L266))</f>
        <v/>
      </c>
      <c r="N266" s="113">
        <f>IF($D266="","",IFERROR(INDEX(INVENTARIO!$L$7:$L$26,MATCH($D266,INVENTARIO!$B$7:$B$26,0))*1,0))</f>
        <v/>
      </c>
      <c r="O266" s="112">
        <f>IF($D266="","",N($F266)*$N266)</f>
        <v/>
      </c>
      <c r="P266" s="114">
        <f>IF($D266="","",$M266-$O266)</f>
        <v/>
      </c>
      <c r="Q266" s="115">
        <f>IF($D266="","",IF($I266&gt;0,$P266/$I266,""))</f>
        <v/>
      </c>
      <c r="R266" s="127" t="n"/>
    </row>
    <row r="267">
      <c r="B267" s="130" t="n"/>
      <c r="C267" s="100" t="n"/>
      <c r="D267" s="100" t="n"/>
      <c r="E267" s="96">
        <f>IF($D267="","",IFERROR(INDEX(INVENTARIO!$C$7:$C$26,MATCH($D267,INVENTARIO!$B$7:$B$26,0)),"⚠ ID no existe"))</f>
        <v/>
      </c>
      <c r="F267" s="128" t="n"/>
      <c r="G267" s="129" t="n"/>
      <c r="H267" s="112">
        <f>IF($D267="","",IF($G267="",IFERROR(INDEX(INVENTARIO!$N$7:$N$26,MATCH($D267,INVENTARIO!$B$7:$B$26,0)),""),$G267))</f>
        <v/>
      </c>
      <c r="I267" s="114">
        <f>IF($D267="","",N($F267)*IF(ISNUMBER($H267),$H267,0))</f>
        <v/>
      </c>
      <c r="J267" s="115">
        <f>IF($D267="","",IFERROR(IF(INDEX(INVENTARIO!$O$7:$O$26,MATCH($D267,INVENTARIO!$B$7:$B$26,0))="",CFG_WALMART,INDEX(INVENTARIO!$O$7:$O$26,MATCH($D267,INVENTARIO!$B$7:$B$26,0))),CFG_WALMART))</f>
        <v/>
      </c>
      <c r="K267" s="112">
        <f>IF($D267="","",$I267*$J267)</f>
        <v/>
      </c>
      <c r="L267" s="129" t="n"/>
      <c r="M267" s="114">
        <f>IF($D267="","",$I267-$K267-N($L267))</f>
        <v/>
      </c>
      <c r="N267" s="113">
        <f>IF($D267="","",IFERROR(INDEX(INVENTARIO!$L$7:$L$26,MATCH($D267,INVENTARIO!$B$7:$B$26,0))*1,0))</f>
        <v/>
      </c>
      <c r="O267" s="112">
        <f>IF($D267="","",N($F267)*$N267)</f>
        <v/>
      </c>
      <c r="P267" s="114">
        <f>IF($D267="","",$M267-$O267)</f>
        <v/>
      </c>
      <c r="Q267" s="115">
        <f>IF($D267="","",IF($I267&gt;0,$P267/$I267,""))</f>
        <v/>
      </c>
      <c r="R267" s="127" t="n"/>
    </row>
    <row r="268">
      <c r="B268" s="130" t="n"/>
      <c r="C268" s="100" t="n"/>
      <c r="D268" s="100" t="n"/>
      <c r="E268" s="96">
        <f>IF($D268="","",IFERROR(INDEX(INVENTARIO!$C$7:$C$26,MATCH($D268,INVENTARIO!$B$7:$B$26,0)),"⚠ ID no existe"))</f>
        <v/>
      </c>
      <c r="F268" s="128" t="n"/>
      <c r="G268" s="129" t="n"/>
      <c r="H268" s="112">
        <f>IF($D268="","",IF($G268="",IFERROR(INDEX(INVENTARIO!$N$7:$N$26,MATCH($D268,INVENTARIO!$B$7:$B$26,0)),""),$G268))</f>
        <v/>
      </c>
      <c r="I268" s="114">
        <f>IF($D268="","",N($F268)*IF(ISNUMBER($H268),$H268,0))</f>
        <v/>
      </c>
      <c r="J268" s="115">
        <f>IF($D268="","",IFERROR(IF(INDEX(INVENTARIO!$O$7:$O$26,MATCH($D268,INVENTARIO!$B$7:$B$26,0))="",CFG_WALMART,INDEX(INVENTARIO!$O$7:$O$26,MATCH($D268,INVENTARIO!$B$7:$B$26,0))),CFG_WALMART))</f>
        <v/>
      </c>
      <c r="K268" s="112">
        <f>IF($D268="","",$I268*$J268)</f>
        <v/>
      </c>
      <c r="L268" s="129" t="n"/>
      <c r="M268" s="114">
        <f>IF($D268="","",$I268-$K268-N($L268))</f>
        <v/>
      </c>
      <c r="N268" s="113">
        <f>IF($D268="","",IFERROR(INDEX(INVENTARIO!$L$7:$L$26,MATCH($D268,INVENTARIO!$B$7:$B$26,0))*1,0))</f>
        <v/>
      </c>
      <c r="O268" s="112">
        <f>IF($D268="","",N($F268)*$N268)</f>
        <v/>
      </c>
      <c r="P268" s="114">
        <f>IF($D268="","",$M268-$O268)</f>
        <v/>
      </c>
      <c r="Q268" s="115">
        <f>IF($D268="","",IF($I268&gt;0,$P268/$I268,""))</f>
        <v/>
      </c>
      <c r="R268" s="127" t="n"/>
    </row>
    <row r="269">
      <c r="B269" s="130" t="n"/>
      <c r="C269" s="100" t="n"/>
      <c r="D269" s="100" t="n"/>
      <c r="E269" s="96">
        <f>IF($D269="","",IFERROR(INDEX(INVENTARIO!$C$7:$C$26,MATCH($D269,INVENTARIO!$B$7:$B$26,0)),"⚠ ID no existe"))</f>
        <v/>
      </c>
      <c r="F269" s="128" t="n"/>
      <c r="G269" s="129" t="n"/>
      <c r="H269" s="112">
        <f>IF($D269="","",IF($G269="",IFERROR(INDEX(INVENTARIO!$N$7:$N$26,MATCH($D269,INVENTARIO!$B$7:$B$26,0)),""),$G269))</f>
        <v/>
      </c>
      <c r="I269" s="114">
        <f>IF($D269="","",N($F269)*IF(ISNUMBER($H269),$H269,0))</f>
        <v/>
      </c>
      <c r="J269" s="115">
        <f>IF($D269="","",IFERROR(IF(INDEX(INVENTARIO!$O$7:$O$26,MATCH($D269,INVENTARIO!$B$7:$B$26,0))="",CFG_WALMART,INDEX(INVENTARIO!$O$7:$O$26,MATCH($D269,INVENTARIO!$B$7:$B$26,0))),CFG_WALMART))</f>
        <v/>
      </c>
      <c r="K269" s="112">
        <f>IF($D269="","",$I269*$J269)</f>
        <v/>
      </c>
      <c r="L269" s="129" t="n"/>
      <c r="M269" s="114">
        <f>IF($D269="","",$I269-$K269-N($L269))</f>
        <v/>
      </c>
      <c r="N269" s="113">
        <f>IF($D269="","",IFERROR(INDEX(INVENTARIO!$L$7:$L$26,MATCH($D269,INVENTARIO!$B$7:$B$26,0))*1,0))</f>
        <v/>
      </c>
      <c r="O269" s="112">
        <f>IF($D269="","",N($F269)*$N269)</f>
        <v/>
      </c>
      <c r="P269" s="114">
        <f>IF($D269="","",$M269-$O269)</f>
        <v/>
      </c>
      <c r="Q269" s="115">
        <f>IF($D269="","",IF($I269&gt;0,$P269/$I269,""))</f>
        <v/>
      </c>
      <c r="R269" s="127" t="n"/>
    </row>
    <row r="270">
      <c r="B270" s="130" t="n"/>
      <c r="C270" s="100" t="n"/>
      <c r="D270" s="100" t="n"/>
      <c r="E270" s="96">
        <f>IF($D270="","",IFERROR(INDEX(INVENTARIO!$C$7:$C$26,MATCH($D270,INVENTARIO!$B$7:$B$26,0)),"⚠ ID no existe"))</f>
        <v/>
      </c>
      <c r="F270" s="128" t="n"/>
      <c r="G270" s="129" t="n"/>
      <c r="H270" s="112">
        <f>IF($D270="","",IF($G270="",IFERROR(INDEX(INVENTARIO!$N$7:$N$26,MATCH($D270,INVENTARIO!$B$7:$B$26,0)),""),$G270))</f>
        <v/>
      </c>
      <c r="I270" s="114">
        <f>IF($D270="","",N($F270)*IF(ISNUMBER($H270),$H270,0))</f>
        <v/>
      </c>
      <c r="J270" s="115">
        <f>IF($D270="","",IFERROR(IF(INDEX(INVENTARIO!$O$7:$O$26,MATCH($D270,INVENTARIO!$B$7:$B$26,0))="",CFG_WALMART,INDEX(INVENTARIO!$O$7:$O$26,MATCH($D270,INVENTARIO!$B$7:$B$26,0))),CFG_WALMART))</f>
        <v/>
      </c>
      <c r="K270" s="112">
        <f>IF($D270="","",$I270*$J270)</f>
        <v/>
      </c>
      <c r="L270" s="129" t="n"/>
      <c r="M270" s="114">
        <f>IF($D270="","",$I270-$K270-N($L270))</f>
        <v/>
      </c>
      <c r="N270" s="113">
        <f>IF($D270="","",IFERROR(INDEX(INVENTARIO!$L$7:$L$26,MATCH($D270,INVENTARIO!$B$7:$B$26,0))*1,0))</f>
        <v/>
      </c>
      <c r="O270" s="112">
        <f>IF($D270="","",N($F270)*$N270)</f>
        <v/>
      </c>
      <c r="P270" s="114">
        <f>IF($D270="","",$M270-$O270)</f>
        <v/>
      </c>
      <c r="Q270" s="115">
        <f>IF($D270="","",IF($I270&gt;0,$P270/$I270,""))</f>
        <v/>
      </c>
      <c r="R270" s="127" t="n"/>
    </row>
    <row r="271">
      <c r="B271" s="130" t="n"/>
      <c r="C271" s="100" t="n"/>
      <c r="D271" s="100" t="n"/>
      <c r="E271" s="96">
        <f>IF($D271="","",IFERROR(INDEX(INVENTARIO!$C$7:$C$26,MATCH($D271,INVENTARIO!$B$7:$B$26,0)),"⚠ ID no existe"))</f>
        <v/>
      </c>
      <c r="F271" s="128" t="n"/>
      <c r="G271" s="129" t="n"/>
      <c r="H271" s="112">
        <f>IF($D271="","",IF($G271="",IFERROR(INDEX(INVENTARIO!$N$7:$N$26,MATCH($D271,INVENTARIO!$B$7:$B$26,0)),""),$G271))</f>
        <v/>
      </c>
      <c r="I271" s="114">
        <f>IF($D271="","",N($F271)*IF(ISNUMBER($H271),$H271,0))</f>
        <v/>
      </c>
      <c r="J271" s="115">
        <f>IF($D271="","",IFERROR(IF(INDEX(INVENTARIO!$O$7:$O$26,MATCH($D271,INVENTARIO!$B$7:$B$26,0))="",CFG_WALMART,INDEX(INVENTARIO!$O$7:$O$26,MATCH($D271,INVENTARIO!$B$7:$B$26,0))),CFG_WALMART))</f>
        <v/>
      </c>
      <c r="K271" s="112">
        <f>IF($D271="","",$I271*$J271)</f>
        <v/>
      </c>
      <c r="L271" s="129" t="n"/>
      <c r="M271" s="114">
        <f>IF($D271="","",$I271-$K271-N($L271))</f>
        <v/>
      </c>
      <c r="N271" s="113">
        <f>IF($D271="","",IFERROR(INDEX(INVENTARIO!$L$7:$L$26,MATCH($D271,INVENTARIO!$B$7:$B$26,0))*1,0))</f>
        <v/>
      </c>
      <c r="O271" s="112">
        <f>IF($D271="","",N($F271)*$N271)</f>
        <v/>
      </c>
      <c r="P271" s="114">
        <f>IF($D271="","",$M271-$O271)</f>
        <v/>
      </c>
      <c r="Q271" s="115">
        <f>IF($D271="","",IF($I271&gt;0,$P271/$I271,""))</f>
        <v/>
      </c>
      <c r="R271" s="127" t="n"/>
    </row>
    <row r="272">
      <c r="B272" s="130" t="n"/>
      <c r="C272" s="100" t="n"/>
      <c r="D272" s="100" t="n"/>
      <c r="E272" s="96">
        <f>IF($D272="","",IFERROR(INDEX(INVENTARIO!$C$7:$C$26,MATCH($D272,INVENTARIO!$B$7:$B$26,0)),"⚠ ID no existe"))</f>
        <v/>
      </c>
      <c r="F272" s="128" t="n"/>
      <c r="G272" s="129" t="n"/>
      <c r="H272" s="112">
        <f>IF($D272="","",IF($G272="",IFERROR(INDEX(INVENTARIO!$N$7:$N$26,MATCH($D272,INVENTARIO!$B$7:$B$26,0)),""),$G272))</f>
        <v/>
      </c>
      <c r="I272" s="114">
        <f>IF($D272="","",N($F272)*IF(ISNUMBER($H272),$H272,0))</f>
        <v/>
      </c>
      <c r="J272" s="115">
        <f>IF($D272="","",IFERROR(IF(INDEX(INVENTARIO!$O$7:$O$26,MATCH($D272,INVENTARIO!$B$7:$B$26,0))="",CFG_WALMART,INDEX(INVENTARIO!$O$7:$O$26,MATCH($D272,INVENTARIO!$B$7:$B$26,0))),CFG_WALMART))</f>
        <v/>
      </c>
      <c r="K272" s="112">
        <f>IF($D272="","",$I272*$J272)</f>
        <v/>
      </c>
      <c r="L272" s="129" t="n"/>
      <c r="M272" s="114">
        <f>IF($D272="","",$I272-$K272-N($L272))</f>
        <v/>
      </c>
      <c r="N272" s="113">
        <f>IF($D272="","",IFERROR(INDEX(INVENTARIO!$L$7:$L$26,MATCH($D272,INVENTARIO!$B$7:$B$26,0))*1,0))</f>
        <v/>
      </c>
      <c r="O272" s="112">
        <f>IF($D272="","",N($F272)*$N272)</f>
        <v/>
      </c>
      <c r="P272" s="114">
        <f>IF($D272="","",$M272-$O272)</f>
        <v/>
      </c>
      <c r="Q272" s="115">
        <f>IF($D272="","",IF($I272&gt;0,$P272/$I272,""))</f>
        <v/>
      </c>
      <c r="R272" s="127" t="n"/>
    </row>
    <row r="273">
      <c r="B273" s="130" t="n"/>
      <c r="C273" s="100" t="n"/>
      <c r="D273" s="100" t="n"/>
      <c r="E273" s="96">
        <f>IF($D273="","",IFERROR(INDEX(INVENTARIO!$C$7:$C$26,MATCH($D273,INVENTARIO!$B$7:$B$26,0)),"⚠ ID no existe"))</f>
        <v/>
      </c>
      <c r="F273" s="128" t="n"/>
      <c r="G273" s="129" t="n"/>
      <c r="H273" s="112">
        <f>IF($D273="","",IF($G273="",IFERROR(INDEX(INVENTARIO!$N$7:$N$26,MATCH($D273,INVENTARIO!$B$7:$B$26,0)),""),$G273))</f>
        <v/>
      </c>
      <c r="I273" s="114">
        <f>IF($D273="","",N($F273)*IF(ISNUMBER($H273),$H273,0))</f>
        <v/>
      </c>
      <c r="J273" s="115">
        <f>IF($D273="","",IFERROR(IF(INDEX(INVENTARIO!$O$7:$O$26,MATCH($D273,INVENTARIO!$B$7:$B$26,0))="",CFG_WALMART,INDEX(INVENTARIO!$O$7:$O$26,MATCH($D273,INVENTARIO!$B$7:$B$26,0))),CFG_WALMART))</f>
        <v/>
      </c>
      <c r="K273" s="112">
        <f>IF($D273="","",$I273*$J273)</f>
        <v/>
      </c>
      <c r="L273" s="129" t="n"/>
      <c r="M273" s="114">
        <f>IF($D273="","",$I273-$K273-N($L273))</f>
        <v/>
      </c>
      <c r="N273" s="113">
        <f>IF($D273="","",IFERROR(INDEX(INVENTARIO!$L$7:$L$26,MATCH($D273,INVENTARIO!$B$7:$B$26,0))*1,0))</f>
        <v/>
      </c>
      <c r="O273" s="112">
        <f>IF($D273="","",N($F273)*$N273)</f>
        <v/>
      </c>
      <c r="P273" s="114">
        <f>IF($D273="","",$M273-$O273)</f>
        <v/>
      </c>
      <c r="Q273" s="115">
        <f>IF($D273="","",IF($I273&gt;0,$P273/$I273,""))</f>
        <v/>
      </c>
      <c r="R273" s="127" t="n"/>
    </row>
    <row r="274">
      <c r="B274" s="130" t="n"/>
      <c r="C274" s="100" t="n"/>
      <c r="D274" s="100" t="n"/>
      <c r="E274" s="96">
        <f>IF($D274="","",IFERROR(INDEX(INVENTARIO!$C$7:$C$26,MATCH($D274,INVENTARIO!$B$7:$B$26,0)),"⚠ ID no existe"))</f>
        <v/>
      </c>
      <c r="F274" s="128" t="n"/>
      <c r="G274" s="129" t="n"/>
      <c r="H274" s="112">
        <f>IF($D274="","",IF($G274="",IFERROR(INDEX(INVENTARIO!$N$7:$N$26,MATCH($D274,INVENTARIO!$B$7:$B$26,0)),""),$G274))</f>
        <v/>
      </c>
      <c r="I274" s="114">
        <f>IF($D274="","",N($F274)*IF(ISNUMBER($H274),$H274,0))</f>
        <v/>
      </c>
      <c r="J274" s="115">
        <f>IF($D274="","",IFERROR(IF(INDEX(INVENTARIO!$O$7:$O$26,MATCH($D274,INVENTARIO!$B$7:$B$26,0))="",CFG_WALMART,INDEX(INVENTARIO!$O$7:$O$26,MATCH($D274,INVENTARIO!$B$7:$B$26,0))),CFG_WALMART))</f>
        <v/>
      </c>
      <c r="K274" s="112">
        <f>IF($D274="","",$I274*$J274)</f>
        <v/>
      </c>
      <c r="L274" s="129" t="n"/>
      <c r="M274" s="114">
        <f>IF($D274="","",$I274-$K274-N($L274))</f>
        <v/>
      </c>
      <c r="N274" s="113">
        <f>IF($D274="","",IFERROR(INDEX(INVENTARIO!$L$7:$L$26,MATCH($D274,INVENTARIO!$B$7:$B$26,0))*1,0))</f>
        <v/>
      </c>
      <c r="O274" s="112">
        <f>IF($D274="","",N($F274)*$N274)</f>
        <v/>
      </c>
      <c r="P274" s="114">
        <f>IF($D274="","",$M274-$O274)</f>
        <v/>
      </c>
      <c r="Q274" s="115">
        <f>IF($D274="","",IF($I274&gt;0,$P274/$I274,""))</f>
        <v/>
      </c>
      <c r="R274" s="127" t="n"/>
    </row>
    <row r="275">
      <c r="B275" s="130" t="n"/>
      <c r="C275" s="100" t="n"/>
      <c r="D275" s="100" t="n"/>
      <c r="E275" s="96">
        <f>IF($D275="","",IFERROR(INDEX(INVENTARIO!$C$7:$C$26,MATCH($D275,INVENTARIO!$B$7:$B$26,0)),"⚠ ID no existe"))</f>
        <v/>
      </c>
      <c r="F275" s="128" t="n"/>
      <c r="G275" s="129" t="n"/>
      <c r="H275" s="112">
        <f>IF($D275="","",IF($G275="",IFERROR(INDEX(INVENTARIO!$N$7:$N$26,MATCH($D275,INVENTARIO!$B$7:$B$26,0)),""),$G275))</f>
        <v/>
      </c>
      <c r="I275" s="114">
        <f>IF($D275="","",N($F275)*IF(ISNUMBER($H275),$H275,0))</f>
        <v/>
      </c>
      <c r="J275" s="115">
        <f>IF($D275="","",IFERROR(IF(INDEX(INVENTARIO!$O$7:$O$26,MATCH($D275,INVENTARIO!$B$7:$B$26,0))="",CFG_WALMART,INDEX(INVENTARIO!$O$7:$O$26,MATCH($D275,INVENTARIO!$B$7:$B$26,0))),CFG_WALMART))</f>
        <v/>
      </c>
      <c r="K275" s="112">
        <f>IF($D275="","",$I275*$J275)</f>
        <v/>
      </c>
      <c r="L275" s="129" t="n"/>
      <c r="M275" s="114">
        <f>IF($D275="","",$I275-$K275-N($L275))</f>
        <v/>
      </c>
      <c r="N275" s="113">
        <f>IF($D275="","",IFERROR(INDEX(INVENTARIO!$L$7:$L$26,MATCH($D275,INVENTARIO!$B$7:$B$26,0))*1,0))</f>
        <v/>
      </c>
      <c r="O275" s="112">
        <f>IF($D275="","",N($F275)*$N275)</f>
        <v/>
      </c>
      <c r="P275" s="114">
        <f>IF($D275="","",$M275-$O275)</f>
        <v/>
      </c>
      <c r="Q275" s="115">
        <f>IF($D275="","",IF($I275&gt;0,$P275/$I275,""))</f>
        <v/>
      </c>
      <c r="R275" s="127" t="n"/>
    </row>
    <row r="276">
      <c r="B276" s="130" t="n"/>
      <c r="C276" s="100" t="n"/>
      <c r="D276" s="100" t="n"/>
      <c r="E276" s="96">
        <f>IF($D276="","",IFERROR(INDEX(INVENTARIO!$C$7:$C$26,MATCH($D276,INVENTARIO!$B$7:$B$26,0)),"⚠ ID no existe"))</f>
        <v/>
      </c>
      <c r="F276" s="128" t="n"/>
      <c r="G276" s="129" t="n"/>
      <c r="H276" s="112">
        <f>IF($D276="","",IF($G276="",IFERROR(INDEX(INVENTARIO!$N$7:$N$26,MATCH($D276,INVENTARIO!$B$7:$B$26,0)),""),$G276))</f>
        <v/>
      </c>
      <c r="I276" s="114">
        <f>IF($D276="","",N($F276)*IF(ISNUMBER($H276),$H276,0))</f>
        <v/>
      </c>
      <c r="J276" s="115">
        <f>IF($D276="","",IFERROR(IF(INDEX(INVENTARIO!$O$7:$O$26,MATCH($D276,INVENTARIO!$B$7:$B$26,0))="",CFG_WALMART,INDEX(INVENTARIO!$O$7:$O$26,MATCH($D276,INVENTARIO!$B$7:$B$26,0))),CFG_WALMART))</f>
        <v/>
      </c>
      <c r="K276" s="112">
        <f>IF($D276="","",$I276*$J276)</f>
        <v/>
      </c>
      <c r="L276" s="129" t="n"/>
      <c r="M276" s="114">
        <f>IF($D276="","",$I276-$K276-N($L276))</f>
        <v/>
      </c>
      <c r="N276" s="113">
        <f>IF($D276="","",IFERROR(INDEX(INVENTARIO!$L$7:$L$26,MATCH($D276,INVENTARIO!$B$7:$B$26,0))*1,0))</f>
        <v/>
      </c>
      <c r="O276" s="112">
        <f>IF($D276="","",N($F276)*$N276)</f>
        <v/>
      </c>
      <c r="P276" s="114">
        <f>IF($D276="","",$M276-$O276)</f>
        <v/>
      </c>
      <c r="Q276" s="115">
        <f>IF($D276="","",IF($I276&gt;0,$P276/$I276,""))</f>
        <v/>
      </c>
      <c r="R276" s="127" t="n"/>
    </row>
    <row r="277">
      <c r="B277" s="130" t="n"/>
      <c r="C277" s="100" t="n"/>
      <c r="D277" s="100" t="n"/>
      <c r="E277" s="96">
        <f>IF($D277="","",IFERROR(INDEX(INVENTARIO!$C$7:$C$26,MATCH($D277,INVENTARIO!$B$7:$B$26,0)),"⚠ ID no existe"))</f>
        <v/>
      </c>
      <c r="F277" s="128" t="n"/>
      <c r="G277" s="129" t="n"/>
      <c r="H277" s="112">
        <f>IF($D277="","",IF($G277="",IFERROR(INDEX(INVENTARIO!$N$7:$N$26,MATCH($D277,INVENTARIO!$B$7:$B$26,0)),""),$G277))</f>
        <v/>
      </c>
      <c r="I277" s="114">
        <f>IF($D277="","",N($F277)*IF(ISNUMBER($H277),$H277,0))</f>
        <v/>
      </c>
      <c r="J277" s="115">
        <f>IF($D277="","",IFERROR(IF(INDEX(INVENTARIO!$O$7:$O$26,MATCH($D277,INVENTARIO!$B$7:$B$26,0))="",CFG_WALMART,INDEX(INVENTARIO!$O$7:$O$26,MATCH($D277,INVENTARIO!$B$7:$B$26,0))),CFG_WALMART))</f>
        <v/>
      </c>
      <c r="K277" s="112">
        <f>IF($D277="","",$I277*$J277)</f>
        <v/>
      </c>
      <c r="L277" s="129" t="n"/>
      <c r="M277" s="114">
        <f>IF($D277="","",$I277-$K277-N($L277))</f>
        <v/>
      </c>
      <c r="N277" s="113">
        <f>IF($D277="","",IFERROR(INDEX(INVENTARIO!$L$7:$L$26,MATCH($D277,INVENTARIO!$B$7:$B$26,0))*1,0))</f>
        <v/>
      </c>
      <c r="O277" s="112">
        <f>IF($D277="","",N($F277)*$N277)</f>
        <v/>
      </c>
      <c r="P277" s="114">
        <f>IF($D277="","",$M277-$O277)</f>
        <v/>
      </c>
      <c r="Q277" s="115">
        <f>IF($D277="","",IF($I277&gt;0,$P277/$I277,""))</f>
        <v/>
      </c>
      <c r="R277" s="127" t="n"/>
    </row>
    <row r="278">
      <c r="B278" s="130" t="n"/>
      <c r="C278" s="100" t="n"/>
      <c r="D278" s="100" t="n"/>
      <c r="E278" s="96">
        <f>IF($D278="","",IFERROR(INDEX(INVENTARIO!$C$7:$C$26,MATCH($D278,INVENTARIO!$B$7:$B$26,0)),"⚠ ID no existe"))</f>
        <v/>
      </c>
      <c r="F278" s="128" t="n"/>
      <c r="G278" s="129" t="n"/>
      <c r="H278" s="112">
        <f>IF($D278="","",IF($G278="",IFERROR(INDEX(INVENTARIO!$N$7:$N$26,MATCH($D278,INVENTARIO!$B$7:$B$26,0)),""),$G278))</f>
        <v/>
      </c>
      <c r="I278" s="114">
        <f>IF($D278="","",N($F278)*IF(ISNUMBER($H278),$H278,0))</f>
        <v/>
      </c>
      <c r="J278" s="115">
        <f>IF($D278="","",IFERROR(IF(INDEX(INVENTARIO!$O$7:$O$26,MATCH($D278,INVENTARIO!$B$7:$B$26,0))="",CFG_WALMART,INDEX(INVENTARIO!$O$7:$O$26,MATCH($D278,INVENTARIO!$B$7:$B$26,0))),CFG_WALMART))</f>
        <v/>
      </c>
      <c r="K278" s="112">
        <f>IF($D278="","",$I278*$J278)</f>
        <v/>
      </c>
      <c r="L278" s="129" t="n"/>
      <c r="M278" s="114">
        <f>IF($D278="","",$I278-$K278-N($L278))</f>
        <v/>
      </c>
      <c r="N278" s="113">
        <f>IF($D278="","",IFERROR(INDEX(INVENTARIO!$L$7:$L$26,MATCH($D278,INVENTARIO!$B$7:$B$26,0))*1,0))</f>
        <v/>
      </c>
      <c r="O278" s="112">
        <f>IF($D278="","",N($F278)*$N278)</f>
        <v/>
      </c>
      <c r="P278" s="114">
        <f>IF($D278="","",$M278-$O278)</f>
        <v/>
      </c>
      <c r="Q278" s="115">
        <f>IF($D278="","",IF($I278&gt;0,$P278/$I278,""))</f>
        <v/>
      </c>
      <c r="R278" s="127" t="n"/>
    </row>
    <row r="279">
      <c r="B279" s="130" t="n"/>
      <c r="C279" s="100" t="n"/>
      <c r="D279" s="100" t="n"/>
      <c r="E279" s="96">
        <f>IF($D279="","",IFERROR(INDEX(INVENTARIO!$C$7:$C$26,MATCH($D279,INVENTARIO!$B$7:$B$26,0)),"⚠ ID no existe"))</f>
        <v/>
      </c>
      <c r="F279" s="128" t="n"/>
      <c r="G279" s="129" t="n"/>
      <c r="H279" s="112">
        <f>IF($D279="","",IF($G279="",IFERROR(INDEX(INVENTARIO!$N$7:$N$26,MATCH($D279,INVENTARIO!$B$7:$B$26,0)),""),$G279))</f>
        <v/>
      </c>
      <c r="I279" s="114">
        <f>IF($D279="","",N($F279)*IF(ISNUMBER($H279),$H279,0))</f>
        <v/>
      </c>
      <c r="J279" s="115">
        <f>IF($D279="","",IFERROR(IF(INDEX(INVENTARIO!$O$7:$O$26,MATCH($D279,INVENTARIO!$B$7:$B$26,0))="",CFG_WALMART,INDEX(INVENTARIO!$O$7:$O$26,MATCH($D279,INVENTARIO!$B$7:$B$26,0))),CFG_WALMART))</f>
        <v/>
      </c>
      <c r="K279" s="112">
        <f>IF($D279="","",$I279*$J279)</f>
        <v/>
      </c>
      <c r="L279" s="129" t="n"/>
      <c r="M279" s="114">
        <f>IF($D279="","",$I279-$K279-N($L279))</f>
        <v/>
      </c>
      <c r="N279" s="113">
        <f>IF($D279="","",IFERROR(INDEX(INVENTARIO!$L$7:$L$26,MATCH($D279,INVENTARIO!$B$7:$B$26,0))*1,0))</f>
        <v/>
      </c>
      <c r="O279" s="112">
        <f>IF($D279="","",N($F279)*$N279)</f>
        <v/>
      </c>
      <c r="P279" s="114">
        <f>IF($D279="","",$M279-$O279)</f>
        <v/>
      </c>
      <c r="Q279" s="115">
        <f>IF($D279="","",IF($I279&gt;0,$P279/$I279,""))</f>
        <v/>
      </c>
      <c r="R279" s="127" t="n"/>
    </row>
    <row r="280">
      <c r="B280" s="130" t="n"/>
      <c r="C280" s="100" t="n"/>
      <c r="D280" s="100" t="n"/>
      <c r="E280" s="96">
        <f>IF($D280="","",IFERROR(INDEX(INVENTARIO!$C$7:$C$26,MATCH($D280,INVENTARIO!$B$7:$B$26,0)),"⚠ ID no existe"))</f>
        <v/>
      </c>
      <c r="F280" s="128" t="n"/>
      <c r="G280" s="129" t="n"/>
      <c r="H280" s="112">
        <f>IF($D280="","",IF($G280="",IFERROR(INDEX(INVENTARIO!$N$7:$N$26,MATCH($D280,INVENTARIO!$B$7:$B$26,0)),""),$G280))</f>
        <v/>
      </c>
      <c r="I280" s="114">
        <f>IF($D280="","",N($F280)*IF(ISNUMBER($H280),$H280,0))</f>
        <v/>
      </c>
      <c r="J280" s="115">
        <f>IF($D280="","",IFERROR(IF(INDEX(INVENTARIO!$O$7:$O$26,MATCH($D280,INVENTARIO!$B$7:$B$26,0))="",CFG_WALMART,INDEX(INVENTARIO!$O$7:$O$26,MATCH($D280,INVENTARIO!$B$7:$B$26,0))),CFG_WALMART))</f>
        <v/>
      </c>
      <c r="K280" s="112">
        <f>IF($D280="","",$I280*$J280)</f>
        <v/>
      </c>
      <c r="L280" s="129" t="n"/>
      <c r="M280" s="114">
        <f>IF($D280="","",$I280-$K280-N($L280))</f>
        <v/>
      </c>
      <c r="N280" s="113">
        <f>IF($D280="","",IFERROR(INDEX(INVENTARIO!$L$7:$L$26,MATCH($D280,INVENTARIO!$B$7:$B$26,0))*1,0))</f>
        <v/>
      </c>
      <c r="O280" s="112">
        <f>IF($D280="","",N($F280)*$N280)</f>
        <v/>
      </c>
      <c r="P280" s="114">
        <f>IF($D280="","",$M280-$O280)</f>
        <v/>
      </c>
      <c r="Q280" s="115">
        <f>IF($D280="","",IF($I280&gt;0,$P280/$I280,""))</f>
        <v/>
      </c>
      <c r="R280" s="127" t="n"/>
    </row>
    <row r="281">
      <c r="B281" s="130" t="n"/>
      <c r="C281" s="100" t="n"/>
      <c r="D281" s="100" t="n"/>
      <c r="E281" s="96">
        <f>IF($D281="","",IFERROR(INDEX(INVENTARIO!$C$7:$C$26,MATCH($D281,INVENTARIO!$B$7:$B$26,0)),"⚠ ID no existe"))</f>
        <v/>
      </c>
      <c r="F281" s="128" t="n"/>
      <c r="G281" s="129" t="n"/>
      <c r="H281" s="112">
        <f>IF($D281="","",IF($G281="",IFERROR(INDEX(INVENTARIO!$N$7:$N$26,MATCH($D281,INVENTARIO!$B$7:$B$26,0)),""),$G281))</f>
        <v/>
      </c>
      <c r="I281" s="114">
        <f>IF($D281="","",N($F281)*IF(ISNUMBER($H281),$H281,0))</f>
        <v/>
      </c>
      <c r="J281" s="115">
        <f>IF($D281="","",IFERROR(IF(INDEX(INVENTARIO!$O$7:$O$26,MATCH($D281,INVENTARIO!$B$7:$B$26,0))="",CFG_WALMART,INDEX(INVENTARIO!$O$7:$O$26,MATCH($D281,INVENTARIO!$B$7:$B$26,0))),CFG_WALMART))</f>
        <v/>
      </c>
      <c r="K281" s="112">
        <f>IF($D281="","",$I281*$J281)</f>
        <v/>
      </c>
      <c r="L281" s="129" t="n"/>
      <c r="M281" s="114">
        <f>IF($D281="","",$I281-$K281-N($L281))</f>
        <v/>
      </c>
      <c r="N281" s="113">
        <f>IF($D281="","",IFERROR(INDEX(INVENTARIO!$L$7:$L$26,MATCH($D281,INVENTARIO!$B$7:$B$26,0))*1,0))</f>
        <v/>
      </c>
      <c r="O281" s="112">
        <f>IF($D281="","",N($F281)*$N281)</f>
        <v/>
      </c>
      <c r="P281" s="114">
        <f>IF($D281="","",$M281-$O281)</f>
        <v/>
      </c>
      <c r="Q281" s="115">
        <f>IF($D281="","",IF($I281&gt;0,$P281/$I281,""))</f>
        <v/>
      </c>
      <c r="R281" s="127" t="n"/>
    </row>
    <row r="282">
      <c r="B282" s="130" t="n"/>
      <c r="C282" s="100" t="n"/>
      <c r="D282" s="100" t="n"/>
      <c r="E282" s="96">
        <f>IF($D282="","",IFERROR(INDEX(INVENTARIO!$C$7:$C$26,MATCH($D282,INVENTARIO!$B$7:$B$26,0)),"⚠ ID no existe"))</f>
        <v/>
      </c>
      <c r="F282" s="128" t="n"/>
      <c r="G282" s="129" t="n"/>
      <c r="H282" s="112">
        <f>IF($D282="","",IF($G282="",IFERROR(INDEX(INVENTARIO!$N$7:$N$26,MATCH($D282,INVENTARIO!$B$7:$B$26,0)),""),$G282))</f>
        <v/>
      </c>
      <c r="I282" s="114">
        <f>IF($D282="","",N($F282)*IF(ISNUMBER($H282),$H282,0))</f>
        <v/>
      </c>
      <c r="J282" s="115">
        <f>IF($D282="","",IFERROR(IF(INDEX(INVENTARIO!$O$7:$O$26,MATCH($D282,INVENTARIO!$B$7:$B$26,0))="",CFG_WALMART,INDEX(INVENTARIO!$O$7:$O$26,MATCH($D282,INVENTARIO!$B$7:$B$26,0))),CFG_WALMART))</f>
        <v/>
      </c>
      <c r="K282" s="112">
        <f>IF($D282="","",$I282*$J282)</f>
        <v/>
      </c>
      <c r="L282" s="129" t="n"/>
      <c r="M282" s="114">
        <f>IF($D282="","",$I282-$K282-N($L282))</f>
        <v/>
      </c>
      <c r="N282" s="113">
        <f>IF($D282="","",IFERROR(INDEX(INVENTARIO!$L$7:$L$26,MATCH($D282,INVENTARIO!$B$7:$B$26,0))*1,0))</f>
        <v/>
      </c>
      <c r="O282" s="112">
        <f>IF($D282="","",N($F282)*$N282)</f>
        <v/>
      </c>
      <c r="P282" s="114">
        <f>IF($D282="","",$M282-$O282)</f>
        <v/>
      </c>
      <c r="Q282" s="115">
        <f>IF($D282="","",IF($I282&gt;0,$P282/$I282,""))</f>
        <v/>
      </c>
      <c r="R282" s="127" t="n"/>
    </row>
    <row r="283">
      <c r="B283" s="130" t="n"/>
      <c r="C283" s="100" t="n"/>
      <c r="D283" s="100" t="n"/>
      <c r="E283" s="96">
        <f>IF($D283="","",IFERROR(INDEX(INVENTARIO!$C$7:$C$26,MATCH($D283,INVENTARIO!$B$7:$B$26,0)),"⚠ ID no existe"))</f>
        <v/>
      </c>
      <c r="F283" s="128" t="n"/>
      <c r="G283" s="129" t="n"/>
      <c r="H283" s="112">
        <f>IF($D283="","",IF($G283="",IFERROR(INDEX(INVENTARIO!$N$7:$N$26,MATCH($D283,INVENTARIO!$B$7:$B$26,0)),""),$G283))</f>
        <v/>
      </c>
      <c r="I283" s="114">
        <f>IF($D283="","",N($F283)*IF(ISNUMBER($H283),$H283,0))</f>
        <v/>
      </c>
      <c r="J283" s="115">
        <f>IF($D283="","",IFERROR(IF(INDEX(INVENTARIO!$O$7:$O$26,MATCH($D283,INVENTARIO!$B$7:$B$26,0))="",CFG_WALMART,INDEX(INVENTARIO!$O$7:$O$26,MATCH($D283,INVENTARIO!$B$7:$B$26,0))),CFG_WALMART))</f>
        <v/>
      </c>
      <c r="K283" s="112">
        <f>IF($D283="","",$I283*$J283)</f>
        <v/>
      </c>
      <c r="L283" s="129" t="n"/>
      <c r="M283" s="114">
        <f>IF($D283="","",$I283-$K283-N($L283))</f>
        <v/>
      </c>
      <c r="N283" s="113">
        <f>IF($D283="","",IFERROR(INDEX(INVENTARIO!$L$7:$L$26,MATCH($D283,INVENTARIO!$B$7:$B$26,0))*1,0))</f>
        <v/>
      </c>
      <c r="O283" s="112">
        <f>IF($D283="","",N($F283)*$N283)</f>
        <v/>
      </c>
      <c r="P283" s="114">
        <f>IF($D283="","",$M283-$O283)</f>
        <v/>
      </c>
      <c r="Q283" s="115">
        <f>IF($D283="","",IF($I283&gt;0,$P283/$I283,""))</f>
        <v/>
      </c>
      <c r="R283" s="127" t="n"/>
    </row>
    <row r="284">
      <c r="B284" s="130" t="n"/>
      <c r="C284" s="100" t="n"/>
      <c r="D284" s="100" t="n"/>
      <c r="E284" s="96">
        <f>IF($D284="","",IFERROR(INDEX(INVENTARIO!$C$7:$C$26,MATCH($D284,INVENTARIO!$B$7:$B$26,0)),"⚠ ID no existe"))</f>
        <v/>
      </c>
      <c r="F284" s="128" t="n"/>
      <c r="G284" s="129" t="n"/>
      <c r="H284" s="112">
        <f>IF($D284="","",IF($G284="",IFERROR(INDEX(INVENTARIO!$N$7:$N$26,MATCH($D284,INVENTARIO!$B$7:$B$26,0)),""),$G284))</f>
        <v/>
      </c>
      <c r="I284" s="114">
        <f>IF($D284="","",N($F284)*IF(ISNUMBER($H284),$H284,0))</f>
        <v/>
      </c>
      <c r="J284" s="115">
        <f>IF($D284="","",IFERROR(IF(INDEX(INVENTARIO!$O$7:$O$26,MATCH($D284,INVENTARIO!$B$7:$B$26,0))="",CFG_WALMART,INDEX(INVENTARIO!$O$7:$O$26,MATCH($D284,INVENTARIO!$B$7:$B$26,0))),CFG_WALMART))</f>
        <v/>
      </c>
      <c r="K284" s="112">
        <f>IF($D284="","",$I284*$J284)</f>
        <v/>
      </c>
      <c r="L284" s="129" t="n"/>
      <c r="M284" s="114">
        <f>IF($D284="","",$I284-$K284-N($L284))</f>
        <v/>
      </c>
      <c r="N284" s="113">
        <f>IF($D284="","",IFERROR(INDEX(INVENTARIO!$L$7:$L$26,MATCH($D284,INVENTARIO!$B$7:$B$26,0))*1,0))</f>
        <v/>
      </c>
      <c r="O284" s="112">
        <f>IF($D284="","",N($F284)*$N284)</f>
        <v/>
      </c>
      <c r="P284" s="114">
        <f>IF($D284="","",$M284-$O284)</f>
        <v/>
      </c>
      <c r="Q284" s="115">
        <f>IF($D284="","",IF($I284&gt;0,$P284/$I284,""))</f>
        <v/>
      </c>
      <c r="R284" s="127" t="n"/>
    </row>
    <row r="285">
      <c r="B285" s="130" t="n"/>
      <c r="C285" s="100" t="n"/>
      <c r="D285" s="100" t="n"/>
      <c r="E285" s="96">
        <f>IF($D285="","",IFERROR(INDEX(INVENTARIO!$C$7:$C$26,MATCH($D285,INVENTARIO!$B$7:$B$26,0)),"⚠ ID no existe"))</f>
        <v/>
      </c>
      <c r="F285" s="128" t="n"/>
      <c r="G285" s="129" t="n"/>
      <c r="H285" s="112">
        <f>IF($D285="","",IF($G285="",IFERROR(INDEX(INVENTARIO!$N$7:$N$26,MATCH($D285,INVENTARIO!$B$7:$B$26,0)),""),$G285))</f>
        <v/>
      </c>
      <c r="I285" s="114">
        <f>IF($D285="","",N($F285)*IF(ISNUMBER($H285),$H285,0))</f>
        <v/>
      </c>
      <c r="J285" s="115">
        <f>IF($D285="","",IFERROR(IF(INDEX(INVENTARIO!$O$7:$O$26,MATCH($D285,INVENTARIO!$B$7:$B$26,0))="",CFG_WALMART,INDEX(INVENTARIO!$O$7:$O$26,MATCH($D285,INVENTARIO!$B$7:$B$26,0))),CFG_WALMART))</f>
        <v/>
      </c>
      <c r="K285" s="112">
        <f>IF($D285="","",$I285*$J285)</f>
        <v/>
      </c>
      <c r="L285" s="129" t="n"/>
      <c r="M285" s="114">
        <f>IF($D285="","",$I285-$K285-N($L285))</f>
        <v/>
      </c>
      <c r="N285" s="113">
        <f>IF($D285="","",IFERROR(INDEX(INVENTARIO!$L$7:$L$26,MATCH($D285,INVENTARIO!$B$7:$B$26,0))*1,0))</f>
        <v/>
      </c>
      <c r="O285" s="112">
        <f>IF($D285="","",N($F285)*$N285)</f>
        <v/>
      </c>
      <c r="P285" s="114">
        <f>IF($D285="","",$M285-$O285)</f>
        <v/>
      </c>
      <c r="Q285" s="115">
        <f>IF($D285="","",IF($I285&gt;0,$P285/$I285,""))</f>
        <v/>
      </c>
      <c r="R285" s="127" t="n"/>
    </row>
    <row r="286">
      <c r="B286" s="130" t="n"/>
      <c r="C286" s="100" t="n"/>
      <c r="D286" s="100" t="n"/>
      <c r="E286" s="96">
        <f>IF($D286="","",IFERROR(INDEX(INVENTARIO!$C$7:$C$26,MATCH($D286,INVENTARIO!$B$7:$B$26,0)),"⚠ ID no existe"))</f>
        <v/>
      </c>
      <c r="F286" s="128" t="n"/>
      <c r="G286" s="129" t="n"/>
      <c r="H286" s="112">
        <f>IF($D286="","",IF($G286="",IFERROR(INDEX(INVENTARIO!$N$7:$N$26,MATCH($D286,INVENTARIO!$B$7:$B$26,0)),""),$G286))</f>
        <v/>
      </c>
      <c r="I286" s="114">
        <f>IF($D286="","",N($F286)*IF(ISNUMBER($H286),$H286,0))</f>
        <v/>
      </c>
      <c r="J286" s="115">
        <f>IF($D286="","",IFERROR(IF(INDEX(INVENTARIO!$O$7:$O$26,MATCH($D286,INVENTARIO!$B$7:$B$26,0))="",CFG_WALMART,INDEX(INVENTARIO!$O$7:$O$26,MATCH($D286,INVENTARIO!$B$7:$B$26,0))),CFG_WALMART))</f>
        <v/>
      </c>
      <c r="K286" s="112">
        <f>IF($D286="","",$I286*$J286)</f>
        <v/>
      </c>
      <c r="L286" s="129" t="n"/>
      <c r="M286" s="114">
        <f>IF($D286="","",$I286-$K286-N($L286))</f>
        <v/>
      </c>
      <c r="N286" s="113">
        <f>IF($D286="","",IFERROR(INDEX(INVENTARIO!$L$7:$L$26,MATCH($D286,INVENTARIO!$B$7:$B$26,0))*1,0))</f>
        <v/>
      </c>
      <c r="O286" s="112">
        <f>IF($D286="","",N($F286)*$N286)</f>
        <v/>
      </c>
      <c r="P286" s="114">
        <f>IF($D286="","",$M286-$O286)</f>
        <v/>
      </c>
      <c r="Q286" s="115">
        <f>IF($D286="","",IF($I286&gt;0,$P286/$I286,""))</f>
        <v/>
      </c>
      <c r="R286" s="127" t="n"/>
    </row>
    <row r="287">
      <c r="B287" s="130" t="n"/>
      <c r="C287" s="100" t="n"/>
      <c r="D287" s="100" t="n"/>
      <c r="E287" s="96">
        <f>IF($D287="","",IFERROR(INDEX(INVENTARIO!$C$7:$C$26,MATCH($D287,INVENTARIO!$B$7:$B$26,0)),"⚠ ID no existe"))</f>
        <v/>
      </c>
      <c r="F287" s="128" t="n"/>
      <c r="G287" s="129" t="n"/>
      <c r="H287" s="112">
        <f>IF($D287="","",IF($G287="",IFERROR(INDEX(INVENTARIO!$N$7:$N$26,MATCH($D287,INVENTARIO!$B$7:$B$26,0)),""),$G287))</f>
        <v/>
      </c>
      <c r="I287" s="114">
        <f>IF($D287="","",N($F287)*IF(ISNUMBER($H287),$H287,0))</f>
        <v/>
      </c>
      <c r="J287" s="115">
        <f>IF($D287="","",IFERROR(IF(INDEX(INVENTARIO!$O$7:$O$26,MATCH($D287,INVENTARIO!$B$7:$B$26,0))="",CFG_WALMART,INDEX(INVENTARIO!$O$7:$O$26,MATCH($D287,INVENTARIO!$B$7:$B$26,0))),CFG_WALMART))</f>
        <v/>
      </c>
      <c r="K287" s="112">
        <f>IF($D287="","",$I287*$J287)</f>
        <v/>
      </c>
      <c r="L287" s="129" t="n"/>
      <c r="M287" s="114">
        <f>IF($D287="","",$I287-$K287-N($L287))</f>
        <v/>
      </c>
      <c r="N287" s="113">
        <f>IF($D287="","",IFERROR(INDEX(INVENTARIO!$L$7:$L$26,MATCH($D287,INVENTARIO!$B$7:$B$26,0))*1,0))</f>
        <v/>
      </c>
      <c r="O287" s="112">
        <f>IF($D287="","",N($F287)*$N287)</f>
        <v/>
      </c>
      <c r="P287" s="114">
        <f>IF($D287="","",$M287-$O287)</f>
        <v/>
      </c>
      <c r="Q287" s="115">
        <f>IF($D287="","",IF($I287&gt;0,$P287/$I287,""))</f>
        <v/>
      </c>
      <c r="R287" s="127" t="n"/>
    </row>
    <row r="288">
      <c r="B288" s="130" t="n"/>
      <c r="C288" s="100" t="n"/>
      <c r="D288" s="100" t="n"/>
      <c r="E288" s="96">
        <f>IF($D288="","",IFERROR(INDEX(INVENTARIO!$C$7:$C$26,MATCH($D288,INVENTARIO!$B$7:$B$26,0)),"⚠ ID no existe"))</f>
        <v/>
      </c>
      <c r="F288" s="128" t="n"/>
      <c r="G288" s="129" t="n"/>
      <c r="H288" s="112">
        <f>IF($D288="","",IF($G288="",IFERROR(INDEX(INVENTARIO!$N$7:$N$26,MATCH($D288,INVENTARIO!$B$7:$B$26,0)),""),$G288))</f>
        <v/>
      </c>
      <c r="I288" s="114">
        <f>IF($D288="","",N($F288)*IF(ISNUMBER($H288),$H288,0))</f>
        <v/>
      </c>
      <c r="J288" s="115">
        <f>IF($D288="","",IFERROR(IF(INDEX(INVENTARIO!$O$7:$O$26,MATCH($D288,INVENTARIO!$B$7:$B$26,0))="",CFG_WALMART,INDEX(INVENTARIO!$O$7:$O$26,MATCH($D288,INVENTARIO!$B$7:$B$26,0))),CFG_WALMART))</f>
        <v/>
      </c>
      <c r="K288" s="112">
        <f>IF($D288="","",$I288*$J288)</f>
        <v/>
      </c>
      <c r="L288" s="129" t="n"/>
      <c r="M288" s="114">
        <f>IF($D288="","",$I288-$K288-N($L288))</f>
        <v/>
      </c>
      <c r="N288" s="113">
        <f>IF($D288="","",IFERROR(INDEX(INVENTARIO!$L$7:$L$26,MATCH($D288,INVENTARIO!$B$7:$B$26,0))*1,0))</f>
        <v/>
      </c>
      <c r="O288" s="112">
        <f>IF($D288="","",N($F288)*$N288)</f>
        <v/>
      </c>
      <c r="P288" s="114">
        <f>IF($D288="","",$M288-$O288)</f>
        <v/>
      </c>
      <c r="Q288" s="115">
        <f>IF($D288="","",IF($I288&gt;0,$P288/$I288,""))</f>
        <v/>
      </c>
      <c r="R288" s="127" t="n"/>
    </row>
    <row r="289">
      <c r="B289" s="130" t="n"/>
      <c r="C289" s="100" t="n"/>
      <c r="D289" s="100" t="n"/>
      <c r="E289" s="96">
        <f>IF($D289="","",IFERROR(INDEX(INVENTARIO!$C$7:$C$26,MATCH($D289,INVENTARIO!$B$7:$B$26,0)),"⚠ ID no existe"))</f>
        <v/>
      </c>
      <c r="F289" s="128" t="n"/>
      <c r="G289" s="129" t="n"/>
      <c r="H289" s="112">
        <f>IF($D289="","",IF($G289="",IFERROR(INDEX(INVENTARIO!$N$7:$N$26,MATCH($D289,INVENTARIO!$B$7:$B$26,0)),""),$G289))</f>
        <v/>
      </c>
      <c r="I289" s="114">
        <f>IF($D289="","",N($F289)*IF(ISNUMBER($H289),$H289,0))</f>
        <v/>
      </c>
      <c r="J289" s="115">
        <f>IF($D289="","",IFERROR(IF(INDEX(INVENTARIO!$O$7:$O$26,MATCH($D289,INVENTARIO!$B$7:$B$26,0))="",CFG_WALMART,INDEX(INVENTARIO!$O$7:$O$26,MATCH($D289,INVENTARIO!$B$7:$B$26,0))),CFG_WALMART))</f>
        <v/>
      </c>
      <c r="K289" s="112">
        <f>IF($D289="","",$I289*$J289)</f>
        <v/>
      </c>
      <c r="L289" s="129" t="n"/>
      <c r="M289" s="114">
        <f>IF($D289="","",$I289-$K289-N($L289))</f>
        <v/>
      </c>
      <c r="N289" s="113">
        <f>IF($D289="","",IFERROR(INDEX(INVENTARIO!$L$7:$L$26,MATCH($D289,INVENTARIO!$B$7:$B$26,0))*1,0))</f>
        <v/>
      </c>
      <c r="O289" s="112">
        <f>IF($D289="","",N($F289)*$N289)</f>
        <v/>
      </c>
      <c r="P289" s="114">
        <f>IF($D289="","",$M289-$O289)</f>
        <v/>
      </c>
      <c r="Q289" s="115">
        <f>IF($D289="","",IF($I289&gt;0,$P289/$I289,""))</f>
        <v/>
      </c>
      <c r="R289" s="127" t="n"/>
    </row>
    <row r="290">
      <c r="B290" s="130" t="n"/>
      <c r="C290" s="100" t="n"/>
      <c r="D290" s="100" t="n"/>
      <c r="E290" s="96">
        <f>IF($D290="","",IFERROR(INDEX(INVENTARIO!$C$7:$C$26,MATCH($D290,INVENTARIO!$B$7:$B$26,0)),"⚠ ID no existe"))</f>
        <v/>
      </c>
      <c r="F290" s="128" t="n"/>
      <c r="G290" s="129" t="n"/>
      <c r="H290" s="112">
        <f>IF($D290="","",IF($G290="",IFERROR(INDEX(INVENTARIO!$N$7:$N$26,MATCH($D290,INVENTARIO!$B$7:$B$26,0)),""),$G290))</f>
        <v/>
      </c>
      <c r="I290" s="114">
        <f>IF($D290="","",N($F290)*IF(ISNUMBER($H290),$H290,0))</f>
        <v/>
      </c>
      <c r="J290" s="115">
        <f>IF($D290="","",IFERROR(IF(INDEX(INVENTARIO!$O$7:$O$26,MATCH($D290,INVENTARIO!$B$7:$B$26,0))="",CFG_WALMART,INDEX(INVENTARIO!$O$7:$O$26,MATCH($D290,INVENTARIO!$B$7:$B$26,0))),CFG_WALMART))</f>
        <v/>
      </c>
      <c r="K290" s="112">
        <f>IF($D290="","",$I290*$J290)</f>
        <v/>
      </c>
      <c r="L290" s="129" t="n"/>
      <c r="M290" s="114">
        <f>IF($D290="","",$I290-$K290-N($L290))</f>
        <v/>
      </c>
      <c r="N290" s="113">
        <f>IF($D290="","",IFERROR(INDEX(INVENTARIO!$L$7:$L$26,MATCH($D290,INVENTARIO!$B$7:$B$26,0))*1,0))</f>
        <v/>
      </c>
      <c r="O290" s="112">
        <f>IF($D290="","",N($F290)*$N290)</f>
        <v/>
      </c>
      <c r="P290" s="114">
        <f>IF($D290="","",$M290-$O290)</f>
        <v/>
      </c>
      <c r="Q290" s="115">
        <f>IF($D290="","",IF($I290&gt;0,$P290/$I290,""))</f>
        <v/>
      </c>
      <c r="R290" s="127" t="n"/>
    </row>
    <row r="291">
      <c r="B291" s="130" t="n"/>
      <c r="C291" s="100" t="n"/>
      <c r="D291" s="100" t="n"/>
      <c r="E291" s="96">
        <f>IF($D291="","",IFERROR(INDEX(INVENTARIO!$C$7:$C$26,MATCH($D291,INVENTARIO!$B$7:$B$26,0)),"⚠ ID no existe"))</f>
        <v/>
      </c>
      <c r="F291" s="128" t="n"/>
      <c r="G291" s="129" t="n"/>
      <c r="H291" s="112">
        <f>IF($D291="","",IF($G291="",IFERROR(INDEX(INVENTARIO!$N$7:$N$26,MATCH($D291,INVENTARIO!$B$7:$B$26,0)),""),$G291))</f>
        <v/>
      </c>
      <c r="I291" s="114">
        <f>IF($D291="","",N($F291)*IF(ISNUMBER($H291),$H291,0))</f>
        <v/>
      </c>
      <c r="J291" s="115">
        <f>IF($D291="","",IFERROR(IF(INDEX(INVENTARIO!$O$7:$O$26,MATCH($D291,INVENTARIO!$B$7:$B$26,0))="",CFG_WALMART,INDEX(INVENTARIO!$O$7:$O$26,MATCH($D291,INVENTARIO!$B$7:$B$26,0))),CFG_WALMART))</f>
        <v/>
      </c>
      <c r="K291" s="112">
        <f>IF($D291="","",$I291*$J291)</f>
        <v/>
      </c>
      <c r="L291" s="129" t="n"/>
      <c r="M291" s="114">
        <f>IF($D291="","",$I291-$K291-N($L291))</f>
        <v/>
      </c>
      <c r="N291" s="113">
        <f>IF($D291="","",IFERROR(INDEX(INVENTARIO!$L$7:$L$26,MATCH($D291,INVENTARIO!$B$7:$B$26,0))*1,0))</f>
        <v/>
      </c>
      <c r="O291" s="112">
        <f>IF($D291="","",N($F291)*$N291)</f>
        <v/>
      </c>
      <c r="P291" s="114">
        <f>IF($D291="","",$M291-$O291)</f>
        <v/>
      </c>
      <c r="Q291" s="115">
        <f>IF($D291="","",IF($I291&gt;0,$P291/$I291,""))</f>
        <v/>
      </c>
      <c r="R291" s="127" t="n"/>
    </row>
    <row r="292">
      <c r="B292" s="130" t="n"/>
      <c r="C292" s="100" t="n"/>
      <c r="D292" s="100" t="n"/>
      <c r="E292" s="96">
        <f>IF($D292="","",IFERROR(INDEX(INVENTARIO!$C$7:$C$26,MATCH($D292,INVENTARIO!$B$7:$B$26,0)),"⚠ ID no existe"))</f>
        <v/>
      </c>
      <c r="F292" s="128" t="n"/>
      <c r="G292" s="129" t="n"/>
      <c r="H292" s="112">
        <f>IF($D292="","",IF($G292="",IFERROR(INDEX(INVENTARIO!$N$7:$N$26,MATCH($D292,INVENTARIO!$B$7:$B$26,0)),""),$G292))</f>
        <v/>
      </c>
      <c r="I292" s="114">
        <f>IF($D292="","",N($F292)*IF(ISNUMBER($H292),$H292,0))</f>
        <v/>
      </c>
      <c r="J292" s="115">
        <f>IF($D292="","",IFERROR(IF(INDEX(INVENTARIO!$O$7:$O$26,MATCH($D292,INVENTARIO!$B$7:$B$26,0))="",CFG_WALMART,INDEX(INVENTARIO!$O$7:$O$26,MATCH($D292,INVENTARIO!$B$7:$B$26,0))),CFG_WALMART))</f>
        <v/>
      </c>
      <c r="K292" s="112">
        <f>IF($D292="","",$I292*$J292)</f>
        <v/>
      </c>
      <c r="L292" s="129" t="n"/>
      <c r="M292" s="114">
        <f>IF($D292="","",$I292-$K292-N($L292))</f>
        <v/>
      </c>
      <c r="N292" s="113">
        <f>IF($D292="","",IFERROR(INDEX(INVENTARIO!$L$7:$L$26,MATCH($D292,INVENTARIO!$B$7:$B$26,0))*1,0))</f>
        <v/>
      </c>
      <c r="O292" s="112">
        <f>IF($D292="","",N($F292)*$N292)</f>
        <v/>
      </c>
      <c r="P292" s="114">
        <f>IF($D292="","",$M292-$O292)</f>
        <v/>
      </c>
      <c r="Q292" s="115">
        <f>IF($D292="","",IF($I292&gt;0,$P292/$I292,""))</f>
        <v/>
      </c>
      <c r="R292" s="127" t="n"/>
    </row>
    <row r="293">
      <c r="B293" s="130" t="n"/>
      <c r="C293" s="100" t="n"/>
      <c r="D293" s="100" t="n"/>
      <c r="E293" s="96">
        <f>IF($D293="","",IFERROR(INDEX(INVENTARIO!$C$7:$C$26,MATCH($D293,INVENTARIO!$B$7:$B$26,0)),"⚠ ID no existe"))</f>
        <v/>
      </c>
      <c r="F293" s="128" t="n"/>
      <c r="G293" s="129" t="n"/>
      <c r="H293" s="112">
        <f>IF($D293="","",IF($G293="",IFERROR(INDEX(INVENTARIO!$N$7:$N$26,MATCH($D293,INVENTARIO!$B$7:$B$26,0)),""),$G293))</f>
        <v/>
      </c>
      <c r="I293" s="114">
        <f>IF($D293="","",N($F293)*IF(ISNUMBER($H293),$H293,0))</f>
        <v/>
      </c>
      <c r="J293" s="115">
        <f>IF($D293="","",IFERROR(IF(INDEX(INVENTARIO!$O$7:$O$26,MATCH($D293,INVENTARIO!$B$7:$B$26,0))="",CFG_WALMART,INDEX(INVENTARIO!$O$7:$O$26,MATCH($D293,INVENTARIO!$B$7:$B$26,0))),CFG_WALMART))</f>
        <v/>
      </c>
      <c r="K293" s="112">
        <f>IF($D293="","",$I293*$J293)</f>
        <v/>
      </c>
      <c r="L293" s="129" t="n"/>
      <c r="M293" s="114">
        <f>IF($D293="","",$I293-$K293-N($L293))</f>
        <v/>
      </c>
      <c r="N293" s="113">
        <f>IF($D293="","",IFERROR(INDEX(INVENTARIO!$L$7:$L$26,MATCH($D293,INVENTARIO!$B$7:$B$26,0))*1,0))</f>
        <v/>
      </c>
      <c r="O293" s="112">
        <f>IF($D293="","",N($F293)*$N293)</f>
        <v/>
      </c>
      <c r="P293" s="114">
        <f>IF($D293="","",$M293-$O293)</f>
        <v/>
      </c>
      <c r="Q293" s="115">
        <f>IF($D293="","",IF($I293&gt;0,$P293/$I293,""))</f>
        <v/>
      </c>
      <c r="R293" s="127" t="n"/>
    </row>
    <row r="294">
      <c r="B294" s="130" t="n"/>
      <c r="C294" s="100" t="n"/>
      <c r="D294" s="100" t="n"/>
      <c r="E294" s="96">
        <f>IF($D294="","",IFERROR(INDEX(INVENTARIO!$C$7:$C$26,MATCH($D294,INVENTARIO!$B$7:$B$26,0)),"⚠ ID no existe"))</f>
        <v/>
      </c>
      <c r="F294" s="128" t="n"/>
      <c r="G294" s="129" t="n"/>
      <c r="H294" s="112">
        <f>IF($D294="","",IF($G294="",IFERROR(INDEX(INVENTARIO!$N$7:$N$26,MATCH($D294,INVENTARIO!$B$7:$B$26,0)),""),$G294))</f>
        <v/>
      </c>
      <c r="I294" s="114">
        <f>IF($D294="","",N($F294)*IF(ISNUMBER($H294),$H294,0))</f>
        <v/>
      </c>
      <c r="J294" s="115">
        <f>IF($D294="","",IFERROR(IF(INDEX(INVENTARIO!$O$7:$O$26,MATCH($D294,INVENTARIO!$B$7:$B$26,0))="",CFG_WALMART,INDEX(INVENTARIO!$O$7:$O$26,MATCH($D294,INVENTARIO!$B$7:$B$26,0))),CFG_WALMART))</f>
        <v/>
      </c>
      <c r="K294" s="112">
        <f>IF($D294="","",$I294*$J294)</f>
        <v/>
      </c>
      <c r="L294" s="129" t="n"/>
      <c r="M294" s="114">
        <f>IF($D294="","",$I294-$K294-N($L294))</f>
        <v/>
      </c>
      <c r="N294" s="113">
        <f>IF($D294="","",IFERROR(INDEX(INVENTARIO!$L$7:$L$26,MATCH($D294,INVENTARIO!$B$7:$B$26,0))*1,0))</f>
        <v/>
      </c>
      <c r="O294" s="112">
        <f>IF($D294="","",N($F294)*$N294)</f>
        <v/>
      </c>
      <c r="P294" s="114">
        <f>IF($D294="","",$M294-$O294)</f>
        <v/>
      </c>
      <c r="Q294" s="115">
        <f>IF($D294="","",IF($I294&gt;0,$P294/$I294,""))</f>
        <v/>
      </c>
      <c r="R294" s="127" t="n"/>
    </row>
    <row r="295">
      <c r="B295" s="130" t="n"/>
      <c r="C295" s="100" t="n"/>
      <c r="D295" s="100" t="n"/>
      <c r="E295" s="96">
        <f>IF($D295="","",IFERROR(INDEX(INVENTARIO!$C$7:$C$26,MATCH($D295,INVENTARIO!$B$7:$B$26,0)),"⚠ ID no existe"))</f>
        <v/>
      </c>
      <c r="F295" s="128" t="n"/>
      <c r="G295" s="129" t="n"/>
      <c r="H295" s="112">
        <f>IF($D295="","",IF($G295="",IFERROR(INDEX(INVENTARIO!$N$7:$N$26,MATCH($D295,INVENTARIO!$B$7:$B$26,0)),""),$G295))</f>
        <v/>
      </c>
      <c r="I295" s="114">
        <f>IF($D295="","",N($F295)*IF(ISNUMBER($H295),$H295,0))</f>
        <v/>
      </c>
      <c r="J295" s="115">
        <f>IF($D295="","",IFERROR(IF(INDEX(INVENTARIO!$O$7:$O$26,MATCH($D295,INVENTARIO!$B$7:$B$26,0))="",CFG_WALMART,INDEX(INVENTARIO!$O$7:$O$26,MATCH($D295,INVENTARIO!$B$7:$B$26,0))),CFG_WALMART))</f>
        <v/>
      </c>
      <c r="K295" s="112">
        <f>IF($D295="","",$I295*$J295)</f>
        <v/>
      </c>
      <c r="L295" s="129" t="n"/>
      <c r="M295" s="114">
        <f>IF($D295="","",$I295-$K295-N($L295))</f>
        <v/>
      </c>
      <c r="N295" s="113">
        <f>IF($D295="","",IFERROR(INDEX(INVENTARIO!$L$7:$L$26,MATCH($D295,INVENTARIO!$B$7:$B$26,0))*1,0))</f>
        <v/>
      </c>
      <c r="O295" s="112">
        <f>IF($D295="","",N($F295)*$N295)</f>
        <v/>
      </c>
      <c r="P295" s="114">
        <f>IF($D295="","",$M295-$O295)</f>
        <v/>
      </c>
      <c r="Q295" s="115">
        <f>IF($D295="","",IF($I295&gt;0,$P295/$I295,""))</f>
        <v/>
      </c>
      <c r="R295" s="127" t="n"/>
    </row>
    <row r="296">
      <c r="B296" s="130" t="n"/>
      <c r="C296" s="100" t="n"/>
      <c r="D296" s="100" t="n"/>
      <c r="E296" s="96">
        <f>IF($D296="","",IFERROR(INDEX(INVENTARIO!$C$7:$C$26,MATCH($D296,INVENTARIO!$B$7:$B$26,0)),"⚠ ID no existe"))</f>
        <v/>
      </c>
      <c r="F296" s="128" t="n"/>
      <c r="G296" s="129" t="n"/>
      <c r="H296" s="112">
        <f>IF($D296="","",IF($G296="",IFERROR(INDEX(INVENTARIO!$N$7:$N$26,MATCH($D296,INVENTARIO!$B$7:$B$26,0)),""),$G296))</f>
        <v/>
      </c>
      <c r="I296" s="114">
        <f>IF($D296="","",N($F296)*IF(ISNUMBER($H296),$H296,0))</f>
        <v/>
      </c>
      <c r="J296" s="115">
        <f>IF($D296="","",IFERROR(IF(INDEX(INVENTARIO!$O$7:$O$26,MATCH($D296,INVENTARIO!$B$7:$B$26,0))="",CFG_WALMART,INDEX(INVENTARIO!$O$7:$O$26,MATCH($D296,INVENTARIO!$B$7:$B$26,0))),CFG_WALMART))</f>
        <v/>
      </c>
      <c r="K296" s="112">
        <f>IF($D296="","",$I296*$J296)</f>
        <v/>
      </c>
      <c r="L296" s="129" t="n"/>
      <c r="M296" s="114">
        <f>IF($D296="","",$I296-$K296-N($L296))</f>
        <v/>
      </c>
      <c r="N296" s="113">
        <f>IF($D296="","",IFERROR(INDEX(INVENTARIO!$L$7:$L$26,MATCH($D296,INVENTARIO!$B$7:$B$26,0))*1,0))</f>
        <v/>
      </c>
      <c r="O296" s="112">
        <f>IF($D296="","",N($F296)*$N296)</f>
        <v/>
      </c>
      <c r="P296" s="114">
        <f>IF($D296="","",$M296-$O296)</f>
        <v/>
      </c>
      <c r="Q296" s="115">
        <f>IF($D296="","",IF($I296&gt;0,$P296/$I296,""))</f>
        <v/>
      </c>
      <c r="R296" s="127" t="n"/>
    </row>
    <row r="297">
      <c r="B297" s="130" t="n"/>
      <c r="C297" s="100" t="n"/>
      <c r="D297" s="100" t="n"/>
      <c r="E297" s="96">
        <f>IF($D297="","",IFERROR(INDEX(INVENTARIO!$C$7:$C$26,MATCH($D297,INVENTARIO!$B$7:$B$26,0)),"⚠ ID no existe"))</f>
        <v/>
      </c>
      <c r="F297" s="128" t="n"/>
      <c r="G297" s="129" t="n"/>
      <c r="H297" s="112">
        <f>IF($D297="","",IF($G297="",IFERROR(INDEX(INVENTARIO!$N$7:$N$26,MATCH($D297,INVENTARIO!$B$7:$B$26,0)),""),$G297))</f>
        <v/>
      </c>
      <c r="I297" s="114">
        <f>IF($D297="","",N($F297)*IF(ISNUMBER($H297),$H297,0))</f>
        <v/>
      </c>
      <c r="J297" s="115">
        <f>IF($D297="","",IFERROR(IF(INDEX(INVENTARIO!$O$7:$O$26,MATCH($D297,INVENTARIO!$B$7:$B$26,0))="",CFG_WALMART,INDEX(INVENTARIO!$O$7:$O$26,MATCH($D297,INVENTARIO!$B$7:$B$26,0))),CFG_WALMART))</f>
        <v/>
      </c>
      <c r="K297" s="112">
        <f>IF($D297="","",$I297*$J297)</f>
        <v/>
      </c>
      <c r="L297" s="129" t="n"/>
      <c r="M297" s="114">
        <f>IF($D297="","",$I297-$K297-N($L297))</f>
        <v/>
      </c>
      <c r="N297" s="113">
        <f>IF($D297="","",IFERROR(INDEX(INVENTARIO!$L$7:$L$26,MATCH($D297,INVENTARIO!$B$7:$B$26,0))*1,0))</f>
        <v/>
      </c>
      <c r="O297" s="112">
        <f>IF($D297="","",N($F297)*$N297)</f>
        <v/>
      </c>
      <c r="P297" s="114">
        <f>IF($D297="","",$M297-$O297)</f>
        <v/>
      </c>
      <c r="Q297" s="115">
        <f>IF($D297="","",IF($I297&gt;0,$P297/$I297,""))</f>
        <v/>
      </c>
      <c r="R297" s="127" t="n"/>
    </row>
    <row r="298">
      <c r="B298" s="130" t="n"/>
      <c r="C298" s="100" t="n"/>
      <c r="D298" s="100" t="n"/>
      <c r="E298" s="96">
        <f>IF($D298="","",IFERROR(INDEX(INVENTARIO!$C$7:$C$26,MATCH($D298,INVENTARIO!$B$7:$B$26,0)),"⚠ ID no existe"))</f>
        <v/>
      </c>
      <c r="F298" s="128" t="n"/>
      <c r="G298" s="129" t="n"/>
      <c r="H298" s="112">
        <f>IF($D298="","",IF($G298="",IFERROR(INDEX(INVENTARIO!$N$7:$N$26,MATCH($D298,INVENTARIO!$B$7:$B$26,0)),""),$G298))</f>
        <v/>
      </c>
      <c r="I298" s="114">
        <f>IF($D298="","",N($F298)*IF(ISNUMBER($H298),$H298,0))</f>
        <v/>
      </c>
      <c r="J298" s="115">
        <f>IF($D298="","",IFERROR(IF(INDEX(INVENTARIO!$O$7:$O$26,MATCH($D298,INVENTARIO!$B$7:$B$26,0))="",CFG_WALMART,INDEX(INVENTARIO!$O$7:$O$26,MATCH($D298,INVENTARIO!$B$7:$B$26,0))),CFG_WALMART))</f>
        <v/>
      </c>
      <c r="K298" s="112">
        <f>IF($D298="","",$I298*$J298)</f>
        <v/>
      </c>
      <c r="L298" s="129" t="n"/>
      <c r="M298" s="114">
        <f>IF($D298="","",$I298-$K298-N($L298))</f>
        <v/>
      </c>
      <c r="N298" s="113">
        <f>IF($D298="","",IFERROR(INDEX(INVENTARIO!$L$7:$L$26,MATCH($D298,INVENTARIO!$B$7:$B$26,0))*1,0))</f>
        <v/>
      </c>
      <c r="O298" s="112">
        <f>IF($D298="","",N($F298)*$N298)</f>
        <v/>
      </c>
      <c r="P298" s="114">
        <f>IF($D298="","",$M298-$O298)</f>
        <v/>
      </c>
      <c r="Q298" s="115">
        <f>IF($D298="","",IF($I298&gt;0,$P298/$I298,""))</f>
        <v/>
      </c>
      <c r="R298" s="127" t="n"/>
    </row>
    <row r="299">
      <c r="B299" s="130" t="n"/>
      <c r="C299" s="100" t="n"/>
      <c r="D299" s="100" t="n"/>
      <c r="E299" s="96">
        <f>IF($D299="","",IFERROR(INDEX(INVENTARIO!$C$7:$C$26,MATCH($D299,INVENTARIO!$B$7:$B$26,0)),"⚠ ID no existe"))</f>
        <v/>
      </c>
      <c r="F299" s="128" t="n"/>
      <c r="G299" s="129" t="n"/>
      <c r="H299" s="112">
        <f>IF($D299="","",IF($G299="",IFERROR(INDEX(INVENTARIO!$N$7:$N$26,MATCH($D299,INVENTARIO!$B$7:$B$26,0)),""),$G299))</f>
        <v/>
      </c>
      <c r="I299" s="114">
        <f>IF($D299="","",N($F299)*IF(ISNUMBER($H299),$H299,0))</f>
        <v/>
      </c>
      <c r="J299" s="115">
        <f>IF($D299="","",IFERROR(IF(INDEX(INVENTARIO!$O$7:$O$26,MATCH($D299,INVENTARIO!$B$7:$B$26,0))="",CFG_WALMART,INDEX(INVENTARIO!$O$7:$O$26,MATCH($D299,INVENTARIO!$B$7:$B$26,0))),CFG_WALMART))</f>
        <v/>
      </c>
      <c r="K299" s="112">
        <f>IF($D299="","",$I299*$J299)</f>
        <v/>
      </c>
      <c r="L299" s="129" t="n"/>
      <c r="M299" s="114">
        <f>IF($D299="","",$I299-$K299-N($L299))</f>
        <v/>
      </c>
      <c r="N299" s="113">
        <f>IF($D299="","",IFERROR(INDEX(INVENTARIO!$L$7:$L$26,MATCH($D299,INVENTARIO!$B$7:$B$26,0))*1,0))</f>
        <v/>
      </c>
      <c r="O299" s="112">
        <f>IF($D299="","",N($F299)*$N299)</f>
        <v/>
      </c>
      <c r="P299" s="114">
        <f>IF($D299="","",$M299-$O299)</f>
        <v/>
      </c>
      <c r="Q299" s="115">
        <f>IF($D299="","",IF($I299&gt;0,$P299/$I299,""))</f>
        <v/>
      </c>
      <c r="R299" s="127" t="n"/>
    </row>
    <row r="300">
      <c r="B300" s="130" t="n"/>
      <c r="C300" s="100" t="n"/>
      <c r="D300" s="100" t="n"/>
      <c r="E300" s="96">
        <f>IF($D300="","",IFERROR(INDEX(INVENTARIO!$C$7:$C$26,MATCH($D300,INVENTARIO!$B$7:$B$26,0)),"⚠ ID no existe"))</f>
        <v/>
      </c>
      <c r="F300" s="128" t="n"/>
      <c r="G300" s="129" t="n"/>
      <c r="H300" s="112">
        <f>IF($D300="","",IF($G300="",IFERROR(INDEX(INVENTARIO!$N$7:$N$26,MATCH($D300,INVENTARIO!$B$7:$B$26,0)),""),$G300))</f>
        <v/>
      </c>
      <c r="I300" s="114">
        <f>IF($D300="","",N($F300)*IF(ISNUMBER($H300),$H300,0))</f>
        <v/>
      </c>
      <c r="J300" s="115">
        <f>IF($D300="","",IFERROR(IF(INDEX(INVENTARIO!$O$7:$O$26,MATCH($D300,INVENTARIO!$B$7:$B$26,0))="",CFG_WALMART,INDEX(INVENTARIO!$O$7:$O$26,MATCH($D300,INVENTARIO!$B$7:$B$26,0))),CFG_WALMART))</f>
        <v/>
      </c>
      <c r="K300" s="112">
        <f>IF($D300="","",$I300*$J300)</f>
        <v/>
      </c>
      <c r="L300" s="129" t="n"/>
      <c r="M300" s="114">
        <f>IF($D300="","",$I300-$K300-N($L300))</f>
        <v/>
      </c>
      <c r="N300" s="113">
        <f>IF($D300="","",IFERROR(INDEX(INVENTARIO!$L$7:$L$26,MATCH($D300,INVENTARIO!$B$7:$B$26,0))*1,0))</f>
        <v/>
      </c>
      <c r="O300" s="112">
        <f>IF($D300="","",N($F300)*$N300)</f>
        <v/>
      </c>
      <c r="P300" s="114">
        <f>IF($D300="","",$M300-$O300)</f>
        <v/>
      </c>
      <c r="Q300" s="115">
        <f>IF($D300="","",IF($I300&gt;0,$P300/$I300,""))</f>
        <v/>
      </c>
      <c r="R300" s="127" t="n"/>
    </row>
    <row r="301">
      <c r="B301" s="130" t="n"/>
      <c r="C301" s="100" t="n"/>
      <c r="D301" s="100" t="n"/>
      <c r="E301" s="96">
        <f>IF($D301="","",IFERROR(INDEX(INVENTARIO!$C$7:$C$26,MATCH($D301,INVENTARIO!$B$7:$B$26,0)),"⚠ ID no existe"))</f>
        <v/>
      </c>
      <c r="F301" s="128" t="n"/>
      <c r="G301" s="129" t="n"/>
      <c r="H301" s="112">
        <f>IF($D301="","",IF($G301="",IFERROR(INDEX(INVENTARIO!$N$7:$N$26,MATCH($D301,INVENTARIO!$B$7:$B$26,0)),""),$G301))</f>
        <v/>
      </c>
      <c r="I301" s="114">
        <f>IF($D301="","",N($F301)*IF(ISNUMBER($H301),$H301,0))</f>
        <v/>
      </c>
      <c r="J301" s="115">
        <f>IF($D301="","",IFERROR(IF(INDEX(INVENTARIO!$O$7:$O$26,MATCH($D301,INVENTARIO!$B$7:$B$26,0))="",CFG_WALMART,INDEX(INVENTARIO!$O$7:$O$26,MATCH($D301,INVENTARIO!$B$7:$B$26,0))),CFG_WALMART))</f>
        <v/>
      </c>
      <c r="K301" s="112">
        <f>IF($D301="","",$I301*$J301)</f>
        <v/>
      </c>
      <c r="L301" s="129" t="n"/>
      <c r="M301" s="114">
        <f>IF($D301="","",$I301-$K301-N($L301))</f>
        <v/>
      </c>
      <c r="N301" s="113">
        <f>IF($D301="","",IFERROR(INDEX(INVENTARIO!$L$7:$L$26,MATCH($D301,INVENTARIO!$B$7:$B$26,0))*1,0))</f>
        <v/>
      </c>
      <c r="O301" s="112">
        <f>IF($D301="","",N($F301)*$N301)</f>
        <v/>
      </c>
      <c r="P301" s="114">
        <f>IF($D301="","",$M301-$O301)</f>
        <v/>
      </c>
      <c r="Q301" s="115">
        <f>IF($D301="","",IF($I301&gt;0,$P301/$I301,""))</f>
        <v/>
      </c>
      <c r="R301" s="127" t="n"/>
    </row>
    <row r="302">
      <c r="B302" s="130" t="n"/>
      <c r="C302" s="100" t="n"/>
      <c r="D302" s="100" t="n"/>
      <c r="E302" s="96">
        <f>IF($D302="","",IFERROR(INDEX(INVENTARIO!$C$7:$C$26,MATCH($D302,INVENTARIO!$B$7:$B$26,0)),"⚠ ID no existe"))</f>
        <v/>
      </c>
      <c r="F302" s="128" t="n"/>
      <c r="G302" s="129" t="n"/>
      <c r="H302" s="112">
        <f>IF($D302="","",IF($G302="",IFERROR(INDEX(INVENTARIO!$N$7:$N$26,MATCH($D302,INVENTARIO!$B$7:$B$26,0)),""),$G302))</f>
        <v/>
      </c>
      <c r="I302" s="114">
        <f>IF($D302="","",N($F302)*IF(ISNUMBER($H302),$H302,0))</f>
        <v/>
      </c>
      <c r="J302" s="115">
        <f>IF($D302="","",IFERROR(IF(INDEX(INVENTARIO!$O$7:$O$26,MATCH($D302,INVENTARIO!$B$7:$B$26,0))="",CFG_WALMART,INDEX(INVENTARIO!$O$7:$O$26,MATCH($D302,INVENTARIO!$B$7:$B$26,0))),CFG_WALMART))</f>
        <v/>
      </c>
      <c r="K302" s="112">
        <f>IF($D302="","",$I302*$J302)</f>
        <v/>
      </c>
      <c r="L302" s="129" t="n"/>
      <c r="M302" s="114">
        <f>IF($D302="","",$I302-$K302-N($L302))</f>
        <v/>
      </c>
      <c r="N302" s="113">
        <f>IF($D302="","",IFERROR(INDEX(INVENTARIO!$L$7:$L$26,MATCH($D302,INVENTARIO!$B$7:$B$26,0))*1,0))</f>
        <v/>
      </c>
      <c r="O302" s="112">
        <f>IF($D302="","",N($F302)*$N302)</f>
        <v/>
      </c>
      <c r="P302" s="114">
        <f>IF($D302="","",$M302-$O302)</f>
        <v/>
      </c>
      <c r="Q302" s="115">
        <f>IF($D302="","",IF($I302&gt;0,$P302/$I302,""))</f>
        <v/>
      </c>
      <c r="R302" s="127" t="n"/>
    </row>
    <row r="303">
      <c r="B303" s="130" t="n"/>
      <c r="C303" s="100" t="n"/>
      <c r="D303" s="100" t="n"/>
      <c r="E303" s="96">
        <f>IF($D303="","",IFERROR(INDEX(INVENTARIO!$C$7:$C$26,MATCH($D303,INVENTARIO!$B$7:$B$26,0)),"⚠ ID no existe"))</f>
        <v/>
      </c>
      <c r="F303" s="128" t="n"/>
      <c r="G303" s="129" t="n"/>
      <c r="H303" s="112">
        <f>IF($D303="","",IF($G303="",IFERROR(INDEX(INVENTARIO!$N$7:$N$26,MATCH($D303,INVENTARIO!$B$7:$B$26,0)),""),$G303))</f>
        <v/>
      </c>
      <c r="I303" s="114">
        <f>IF($D303="","",N($F303)*IF(ISNUMBER($H303),$H303,0))</f>
        <v/>
      </c>
      <c r="J303" s="115">
        <f>IF($D303="","",IFERROR(IF(INDEX(INVENTARIO!$O$7:$O$26,MATCH($D303,INVENTARIO!$B$7:$B$26,0))="",CFG_WALMART,INDEX(INVENTARIO!$O$7:$O$26,MATCH($D303,INVENTARIO!$B$7:$B$26,0))),CFG_WALMART))</f>
        <v/>
      </c>
      <c r="K303" s="112">
        <f>IF($D303="","",$I303*$J303)</f>
        <v/>
      </c>
      <c r="L303" s="129" t="n"/>
      <c r="M303" s="114">
        <f>IF($D303="","",$I303-$K303-N($L303))</f>
        <v/>
      </c>
      <c r="N303" s="113">
        <f>IF($D303="","",IFERROR(INDEX(INVENTARIO!$L$7:$L$26,MATCH($D303,INVENTARIO!$B$7:$B$26,0))*1,0))</f>
        <v/>
      </c>
      <c r="O303" s="112">
        <f>IF($D303="","",N($F303)*$N303)</f>
        <v/>
      </c>
      <c r="P303" s="114">
        <f>IF($D303="","",$M303-$O303)</f>
        <v/>
      </c>
      <c r="Q303" s="115">
        <f>IF($D303="","",IF($I303&gt;0,$P303/$I303,""))</f>
        <v/>
      </c>
      <c r="R303" s="127" t="n"/>
    </row>
    <row r="304">
      <c r="B304" s="130" t="n"/>
      <c r="C304" s="100" t="n"/>
      <c r="D304" s="100" t="n"/>
      <c r="E304" s="96">
        <f>IF($D304="","",IFERROR(INDEX(INVENTARIO!$C$7:$C$26,MATCH($D304,INVENTARIO!$B$7:$B$26,0)),"⚠ ID no existe"))</f>
        <v/>
      </c>
      <c r="F304" s="128" t="n"/>
      <c r="G304" s="129" t="n"/>
      <c r="H304" s="112">
        <f>IF($D304="","",IF($G304="",IFERROR(INDEX(INVENTARIO!$N$7:$N$26,MATCH($D304,INVENTARIO!$B$7:$B$26,0)),""),$G304))</f>
        <v/>
      </c>
      <c r="I304" s="114">
        <f>IF($D304="","",N($F304)*IF(ISNUMBER($H304),$H304,0))</f>
        <v/>
      </c>
      <c r="J304" s="115">
        <f>IF($D304="","",IFERROR(IF(INDEX(INVENTARIO!$O$7:$O$26,MATCH($D304,INVENTARIO!$B$7:$B$26,0))="",CFG_WALMART,INDEX(INVENTARIO!$O$7:$O$26,MATCH($D304,INVENTARIO!$B$7:$B$26,0))),CFG_WALMART))</f>
        <v/>
      </c>
      <c r="K304" s="112">
        <f>IF($D304="","",$I304*$J304)</f>
        <v/>
      </c>
      <c r="L304" s="129" t="n"/>
      <c r="M304" s="114">
        <f>IF($D304="","",$I304-$K304-N($L304))</f>
        <v/>
      </c>
      <c r="N304" s="113">
        <f>IF($D304="","",IFERROR(INDEX(INVENTARIO!$L$7:$L$26,MATCH($D304,INVENTARIO!$B$7:$B$26,0))*1,0))</f>
        <v/>
      </c>
      <c r="O304" s="112">
        <f>IF($D304="","",N($F304)*$N304)</f>
        <v/>
      </c>
      <c r="P304" s="114">
        <f>IF($D304="","",$M304-$O304)</f>
        <v/>
      </c>
      <c r="Q304" s="115">
        <f>IF($D304="","",IF($I304&gt;0,$P304/$I304,""))</f>
        <v/>
      </c>
      <c r="R304" s="127" t="n"/>
    </row>
    <row r="305">
      <c r="B305" s="130" t="n"/>
      <c r="C305" s="100" t="n"/>
      <c r="D305" s="100" t="n"/>
      <c r="E305" s="96">
        <f>IF($D305="","",IFERROR(INDEX(INVENTARIO!$C$7:$C$26,MATCH($D305,INVENTARIO!$B$7:$B$26,0)),"⚠ ID no existe"))</f>
        <v/>
      </c>
      <c r="F305" s="128" t="n"/>
      <c r="G305" s="129" t="n"/>
      <c r="H305" s="112">
        <f>IF($D305="","",IF($G305="",IFERROR(INDEX(INVENTARIO!$N$7:$N$26,MATCH($D305,INVENTARIO!$B$7:$B$26,0)),""),$G305))</f>
        <v/>
      </c>
      <c r="I305" s="114">
        <f>IF($D305="","",N($F305)*IF(ISNUMBER($H305),$H305,0))</f>
        <v/>
      </c>
      <c r="J305" s="115">
        <f>IF($D305="","",IFERROR(IF(INDEX(INVENTARIO!$O$7:$O$26,MATCH($D305,INVENTARIO!$B$7:$B$26,0))="",CFG_WALMART,INDEX(INVENTARIO!$O$7:$O$26,MATCH($D305,INVENTARIO!$B$7:$B$26,0))),CFG_WALMART))</f>
        <v/>
      </c>
      <c r="K305" s="112">
        <f>IF($D305="","",$I305*$J305)</f>
        <v/>
      </c>
      <c r="L305" s="129" t="n"/>
      <c r="M305" s="114">
        <f>IF($D305="","",$I305-$K305-N($L305))</f>
        <v/>
      </c>
      <c r="N305" s="113">
        <f>IF($D305="","",IFERROR(INDEX(INVENTARIO!$L$7:$L$26,MATCH($D305,INVENTARIO!$B$7:$B$26,0))*1,0))</f>
        <v/>
      </c>
      <c r="O305" s="112">
        <f>IF($D305="","",N($F305)*$N305)</f>
        <v/>
      </c>
      <c r="P305" s="114">
        <f>IF($D305="","",$M305-$O305)</f>
        <v/>
      </c>
      <c r="Q305" s="115">
        <f>IF($D305="","",IF($I305&gt;0,$P305/$I305,""))</f>
        <v/>
      </c>
      <c r="R305" s="127" t="n"/>
    </row>
    <row r="306">
      <c r="B306" s="130" t="n"/>
      <c r="C306" s="100" t="n"/>
      <c r="D306" s="100" t="n"/>
      <c r="E306" s="96">
        <f>IF($D306="","",IFERROR(INDEX(INVENTARIO!$C$7:$C$26,MATCH($D306,INVENTARIO!$B$7:$B$26,0)),"⚠ ID no existe"))</f>
        <v/>
      </c>
      <c r="F306" s="128" t="n"/>
      <c r="G306" s="129" t="n"/>
      <c r="H306" s="112">
        <f>IF($D306="","",IF($G306="",IFERROR(INDEX(INVENTARIO!$N$7:$N$26,MATCH($D306,INVENTARIO!$B$7:$B$26,0)),""),$G306))</f>
        <v/>
      </c>
      <c r="I306" s="114">
        <f>IF($D306="","",N($F306)*IF(ISNUMBER($H306),$H306,0))</f>
        <v/>
      </c>
      <c r="J306" s="115">
        <f>IF($D306="","",IFERROR(IF(INDEX(INVENTARIO!$O$7:$O$26,MATCH($D306,INVENTARIO!$B$7:$B$26,0))="",CFG_WALMART,INDEX(INVENTARIO!$O$7:$O$26,MATCH($D306,INVENTARIO!$B$7:$B$26,0))),CFG_WALMART))</f>
        <v/>
      </c>
      <c r="K306" s="112">
        <f>IF($D306="","",$I306*$J306)</f>
        <v/>
      </c>
      <c r="L306" s="129" t="n"/>
      <c r="M306" s="114">
        <f>IF($D306="","",$I306-$K306-N($L306))</f>
        <v/>
      </c>
      <c r="N306" s="113">
        <f>IF($D306="","",IFERROR(INDEX(INVENTARIO!$L$7:$L$26,MATCH($D306,INVENTARIO!$B$7:$B$26,0))*1,0))</f>
        <v/>
      </c>
      <c r="O306" s="112">
        <f>IF($D306="","",N($F306)*$N306)</f>
        <v/>
      </c>
      <c r="P306" s="114">
        <f>IF($D306="","",$M306-$O306)</f>
        <v/>
      </c>
      <c r="Q306" s="115">
        <f>IF($D306="","",IF($I306&gt;0,$P306/$I306,""))</f>
        <v/>
      </c>
      <c r="R306" s="127" t="n"/>
    </row>
    <row r="307">
      <c r="B307" s="130" t="n"/>
      <c r="C307" s="100" t="n"/>
      <c r="D307" s="100" t="n"/>
      <c r="E307" s="96">
        <f>IF($D307="","",IFERROR(INDEX(INVENTARIO!$C$7:$C$26,MATCH($D307,INVENTARIO!$B$7:$B$26,0)),"⚠ ID no existe"))</f>
        <v/>
      </c>
      <c r="F307" s="128" t="n"/>
      <c r="G307" s="129" t="n"/>
      <c r="H307" s="112">
        <f>IF($D307="","",IF($G307="",IFERROR(INDEX(INVENTARIO!$N$7:$N$26,MATCH($D307,INVENTARIO!$B$7:$B$26,0)),""),$G307))</f>
        <v/>
      </c>
      <c r="I307" s="114">
        <f>IF($D307="","",N($F307)*IF(ISNUMBER($H307),$H307,0))</f>
        <v/>
      </c>
      <c r="J307" s="115">
        <f>IF($D307="","",IFERROR(IF(INDEX(INVENTARIO!$O$7:$O$26,MATCH($D307,INVENTARIO!$B$7:$B$26,0))="",CFG_WALMART,INDEX(INVENTARIO!$O$7:$O$26,MATCH($D307,INVENTARIO!$B$7:$B$26,0))),CFG_WALMART))</f>
        <v/>
      </c>
      <c r="K307" s="112">
        <f>IF($D307="","",$I307*$J307)</f>
        <v/>
      </c>
      <c r="L307" s="129" t="n"/>
      <c r="M307" s="114">
        <f>IF($D307="","",$I307-$K307-N($L307))</f>
        <v/>
      </c>
      <c r="N307" s="113">
        <f>IF($D307="","",IFERROR(INDEX(INVENTARIO!$L$7:$L$26,MATCH($D307,INVENTARIO!$B$7:$B$26,0))*1,0))</f>
        <v/>
      </c>
      <c r="O307" s="112">
        <f>IF($D307="","",N($F307)*$N307)</f>
        <v/>
      </c>
      <c r="P307" s="114">
        <f>IF($D307="","",$M307-$O307)</f>
        <v/>
      </c>
      <c r="Q307" s="115">
        <f>IF($D307="","",IF($I307&gt;0,$P307/$I307,""))</f>
        <v/>
      </c>
      <c r="R307" s="127" t="n"/>
    </row>
    <row r="308">
      <c r="B308" s="130" t="n"/>
      <c r="C308" s="100" t="n"/>
      <c r="D308" s="100" t="n"/>
      <c r="E308" s="96">
        <f>IF($D308="","",IFERROR(INDEX(INVENTARIO!$C$7:$C$26,MATCH($D308,INVENTARIO!$B$7:$B$26,0)),"⚠ ID no existe"))</f>
        <v/>
      </c>
      <c r="F308" s="128" t="n"/>
      <c r="G308" s="129" t="n"/>
      <c r="H308" s="112">
        <f>IF($D308="","",IF($G308="",IFERROR(INDEX(INVENTARIO!$N$7:$N$26,MATCH($D308,INVENTARIO!$B$7:$B$26,0)),""),$G308))</f>
        <v/>
      </c>
      <c r="I308" s="114">
        <f>IF($D308="","",N($F308)*IF(ISNUMBER($H308),$H308,0))</f>
        <v/>
      </c>
      <c r="J308" s="115">
        <f>IF($D308="","",IFERROR(IF(INDEX(INVENTARIO!$O$7:$O$26,MATCH($D308,INVENTARIO!$B$7:$B$26,0))="",CFG_WALMART,INDEX(INVENTARIO!$O$7:$O$26,MATCH($D308,INVENTARIO!$B$7:$B$26,0))),CFG_WALMART))</f>
        <v/>
      </c>
      <c r="K308" s="112">
        <f>IF($D308="","",$I308*$J308)</f>
        <v/>
      </c>
      <c r="L308" s="129" t="n"/>
      <c r="M308" s="114">
        <f>IF($D308="","",$I308-$K308-N($L308))</f>
        <v/>
      </c>
      <c r="N308" s="113">
        <f>IF($D308="","",IFERROR(INDEX(INVENTARIO!$L$7:$L$26,MATCH($D308,INVENTARIO!$B$7:$B$26,0))*1,0))</f>
        <v/>
      </c>
      <c r="O308" s="112">
        <f>IF($D308="","",N($F308)*$N308)</f>
        <v/>
      </c>
      <c r="P308" s="114">
        <f>IF($D308="","",$M308-$O308)</f>
        <v/>
      </c>
      <c r="Q308" s="115">
        <f>IF($D308="","",IF($I308&gt;0,$P308/$I308,""))</f>
        <v/>
      </c>
      <c r="R308" s="127" t="n"/>
    </row>
    <row r="309">
      <c r="B309" s="130" t="n"/>
      <c r="C309" s="100" t="n"/>
      <c r="D309" s="100" t="n"/>
      <c r="E309" s="96">
        <f>IF($D309="","",IFERROR(INDEX(INVENTARIO!$C$7:$C$26,MATCH($D309,INVENTARIO!$B$7:$B$26,0)),"⚠ ID no existe"))</f>
        <v/>
      </c>
      <c r="F309" s="128" t="n"/>
      <c r="G309" s="129" t="n"/>
      <c r="H309" s="112">
        <f>IF($D309="","",IF($G309="",IFERROR(INDEX(INVENTARIO!$N$7:$N$26,MATCH($D309,INVENTARIO!$B$7:$B$26,0)),""),$G309))</f>
        <v/>
      </c>
      <c r="I309" s="114">
        <f>IF($D309="","",N($F309)*IF(ISNUMBER($H309),$H309,0))</f>
        <v/>
      </c>
      <c r="J309" s="115">
        <f>IF($D309="","",IFERROR(IF(INDEX(INVENTARIO!$O$7:$O$26,MATCH($D309,INVENTARIO!$B$7:$B$26,0))="",CFG_WALMART,INDEX(INVENTARIO!$O$7:$O$26,MATCH($D309,INVENTARIO!$B$7:$B$26,0))),CFG_WALMART))</f>
        <v/>
      </c>
      <c r="K309" s="112">
        <f>IF($D309="","",$I309*$J309)</f>
        <v/>
      </c>
      <c r="L309" s="129" t="n"/>
      <c r="M309" s="114">
        <f>IF($D309="","",$I309-$K309-N($L309))</f>
        <v/>
      </c>
      <c r="N309" s="113">
        <f>IF($D309="","",IFERROR(INDEX(INVENTARIO!$L$7:$L$26,MATCH($D309,INVENTARIO!$B$7:$B$26,0))*1,0))</f>
        <v/>
      </c>
      <c r="O309" s="112">
        <f>IF($D309="","",N($F309)*$N309)</f>
        <v/>
      </c>
      <c r="P309" s="114">
        <f>IF($D309="","",$M309-$O309)</f>
        <v/>
      </c>
      <c r="Q309" s="115">
        <f>IF($D309="","",IF($I309&gt;0,$P309/$I309,""))</f>
        <v/>
      </c>
      <c r="R309" s="127" t="n"/>
    </row>
    <row r="310">
      <c r="B310" s="130" t="n"/>
      <c r="C310" s="100" t="n"/>
      <c r="D310" s="100" t="n"/>
      <c r="E310" s="96">
        <f>IF($D310="","",IFERROR(INDEX(INVENTARIO!$C$7:$C$26,MATCH($D310,INVENTARIO!$B$7:$B$26,0)),"⚠ ID no existe"))</f>
        <v/>
      </c>
      <c r="F310" s="128" t="n"/>
      <c r="G310" s="129" t="n"/>
      <c r="H310" s="112">
        <f>IF($D310="","",IF($G310="",IFERROR(INDEX(INVENTARIO!$N$7:$N$26,MATCH($D310,INVENTARIO!$B$7:$B$26,0)),""),$G310))</f>
        <v/>
      </c>
      <c r="I310" s="114">
        <f>IF($D310="","",N($F310)*IF(ISNUMBER($H310),$H310,0))</f>
        <v/>
      </c>
      <c r="J310" s="115">
        <f>IF($D310="","",IFERROR(IF(INDEX(INVENTARIO!$O$7:$O$26,MATCH($D310,INVENTARIO!$B$7:$B$26,0))="",CFG_WALMART,INDEX(INVENTARIO!$O$7:$O$26,MATCH($D310,INVENTARIO!$B$7:$B$26,0))),CFG_WALMART))</f>
        <v/>
      </c>
      <c r="K310" s="112">
        <f>IF($D310="","",$I310*$J310)</f>
        <v/>
      </c>
      <c r="L310" s="129" t="n"/>
      <c r="M310" s="114">
        <f>IF($D310="","",$I310-$K310-N($L310))</f>
        <v/>
      </c>
      <c r="N310" s="113">
        <f>IF($D310="","",IFERROR(INDEX(INVENTARIO!$L$7:$L$26,MATCH($D310,INVENTARIO!$B$7:$B$26,0))*1,0))</f>
        <v/>
      </c>
      <c r="O310" s="112">
        <f>IF($D310="","",N($F310)*$N310)</f>
        <v/>
      </c>
      <c r="P310" s="114">
        <f>IF($D310="","",$M310-$O310)</f>
        <v/>
      </c>
      <c r="Q310" s="115">
        <f>IF($D310="","",IF($I310&gt;0,$P310/$I310,""))</f>
        <v/>
      </c>
      <c r="R310" s="127" t="n"/>
    </row>
    <row r="311">
      <c r="B311" s="130" t="n"/>
      <c r="C311" s="100" t="n"/>
      <c r="D311" s="100" t="n"/>
      <c r="E311" s="96">
        <f>IF($D311="","",IFERROR(INDEX(INVENTARIO!$C$7:$C$26,MATCH($D311,INVENTARIO!$B$7:$B$26,0)),"⚠ ID no existe"))</f>
        <v/>
      </c>
      <c r="F311" s="128" t="n"/>
      <c r="G311" s="129" t="n"/>
      <c r="H311" s="112">
        <f>IF($D311="","",IF($G311="",IFERROR(INDEX(INVENTARIO!$N$7:$N$26,MATCH($D311,INVENTARIO!$B$7:$B$26,0)),""),$G311))</f>
        <v/>
      </c>
      <c r="I311" s="114">
        <f>IF($D311="","",N($F311)*IF(ISNUMBER($H311),$H311,0))</f>
        <v/>
      </c>
      <c r="J311" s="115">
        <f>IF($D311="","",IFERROR(IF(INDEX(INVENTARIO!$O$7:$O$26,MATCH($D311,INVENTARIO!$B$7:$B$26,0))="",CFG_WALMART,INDEX(INVENTARIO!$O$7:$O$26,MATCH($D311,INVENTARIO!$B$7:$B$26,0))),CFG_WALMART))</f>
        <v/>
      </c>
      <c r="K311" s="112">
        <f>IF($D311="","",$I311*$J311)</f>
        <v/>
      </c>
      <c r="L311" s="129" t="n"/>
      <c r="M311" s="114">
        <f>IF($D311="","",$I311-$K311-N($L311))</f>
        <v/>
      </c>
      <c r="N311" s="113">
        <f>IF($D311="","",IFERROR(INDEX(INVENTARIO!$L$7:$L$26,MATCH($D311,INVENTARIO!$B$7:$B$26,0))*1,0))</f>
        <v/>
      </c>
      <c r="O311" s="112">
        <f>IF($D311="","",N($F311)*$N311)</f>
        <v/>
      </c>
      <c r="P311" s="114">
        <f>IF($D311="","",$M311-$O311)</f>
        <v/>
      </c>
      <c r="Q311" s="115">
        <f>IF($D311="","",IF($I311&gt;0,$P311/$I311,""))</f>
        <v/>
      </c>
      <c r="R311" s="127" t="n"/>
    </row>
    <row r="312">
      <c r="B312" s="130" t="n"/>
      <c r="C312" s="100" t="n"/>
      <c r="D312" s="100" t="n"/>
      <c r="E312" s="96">
        <f>IF($D312="","",IFERROR(INDEX(INVENTARIO!$C$7:$C$26,MATCH($D312,INVENTARIO!$B$7:$B$26,0)),"⚠ ID no existe"))</f>
        <v/>
      </c>
      <c r="F312" s="128" t="n"/>
      <c r="G312" s="129" t="n"/>
      <c r="H312" s="112">
        <f>IF($D312="","",IF($G312="",IFERROR(INDEX(INVENTARIO!$N$7:$N$26,MATCH($D312,INVENTARIO!$B$7:$B$26,0)),""),$G312))</f>
        <v/>
      </c>
      <c r="I312" s="114">
        <f>IF($D312="","",N($F312)*IF(ISNUMBER($H312),$H312,0))</f>
        <v/>
      </c>
      <c r="J312" s="115">
        <f>IF($D312="","",IFERROR(IF(INDEX(INVENTARIO!$O$7:$O$26,MATCH($D312,INVENTARIO!$B$7:$B$26,0))="",CFG_WALMART,INDEX(INVENTARIO!$O$7:$O$26,MATCH($D312,INVENTARIO!$B$7:$B$26,0))),CFG_WALMART))</f>
        <v/>
      </c>
      <c r="K312" s="112">
        <f>IF($D312="","",$I312*$J312)</f>
        <v/>
      </c>
      <c r="L312" s="129" t="n"/>
      <c r="M312" s="114">
        <f>IF($D312="","",$I312-$K312-N($L312))</f>
        <v/>
      </c>
      <c r="N312" s="113">
        <f>IF($D312="","",IFERROR(INDEX(INVENTARIO!$L$7:$L$26,MATCH($D312,INVENTARIO!$B$7:$B$26,0))*1,0))</f>
        <v/>
      </c>
      <c r="O312" s="112">
        <f>IF($D312="","",N($F312)*$N312)</f>
        <v/>
      </c>
      <c r="P312" s="114">
        <f>IF($D312="","",$M312-$O312)</f>
        <v/>
      </c>
      <c r="Q312" s="115">
        <f>IF($D312="","",IF($I312&gt;0,$P312/$I312,""))</f>
        <v/>
      </c>
      <c r="R312" s="127" t="n"/>
    </row>
    <row r="313">
      <c r="B313" s="130" t="n"/>
      <c r="C313" s="100" t="n"/>
      <c r="D313" s="100" t="n"/>
      <c r="E313" s="96">
        <f>IF($D313="","",IFERROR(INDEX(INVENTARIO!$C$7:$C$26,MATCH($D313,INVENTARIO!$B$7:$B$26,0)),"⚠ ID no existe"))</f>
        <v/>
      </c>
      <c r="F313" s="128" t="n"/>
      <c r="G313" s="129" t="n"/>
      <c r="H313" s="112">
        <f>IF($D313="","",IF($G313="",IFERROR(INDEX(INVENTARIO!$N$7:$N$26,MATCH($D313,INVENTARIO!$B$7:$B$26,0)),""),$G313))</f>
        <v/>
      </c>
      <c r="I313" s="114">
        <f>IF($D313="","",N($F313)*IF(ISNUMBER($H313),$H313,0))</f>
        <v/>
      </c>
      <c r="J313" s="115">
        <f>IF($D313="","",IFERROR(IF(INDEX(INVENTARIO!$O$7:$O$26,MATCH($D313,INVENTARIO!$B$7:$B$26,0))="",CFG_WALMART,INDEX(INVENTARIO!$O$7:$O$26,MATCH($D313,INVENTARIO!$B$7:$B$26,0))),CFG_WALMART))</f>
        <v/>
      </c>
      <c r="K313" s="112">
        <f>IF($D313="","",$I313*$J313)</f>
        <v/>
      </c>
      <c r="L313" s="129" t="n"/>
      <c r="M313" s="114">
        <f>IF($D313="","",$I313-$K313-N($L313))</f>
        <v/>
      </c>
      <c r="N313" s="113">
        <f>IF($D313="","",IFERROR(INDEX(INVENTARIO!$L$7:$L$26,MATCH($D313,INVENTARIO!$B$7:$B$26,0))*1,0))</f>
        <v/>
      </c>
      <c r="O313" s="112">
        <f>IF($D313="","",N($F313)*$N313)</f>
        <v/>
      </c>
      <c r="P313" s="114">
        <f>IF($D313="","",$M313-$O313)</f>
        <v/>
      </c>
      <c r="Q313" s="115">
        <f>IF($D313="","",IF($I313&gt;0,$P313/$I313,""))</f>
        <v/>
      </c>
      <c r="R313" s="127" t="n"/>
    </row>
    <row r="314">
      <c r="B314" s="130" t="n"/>
      <c r="C314" s="100" t="n"/>
      <c r="D314" s="100" t="n"/>
      <c r="E314" s="96">
        <f>IF($D314="","",IFERROR(INDEX(INVENTARIO!$C$7:$C$26,MATCH($D314,INVENTARIO!$B$7:$B$26,0)),"⚠ ID no existe"))</f>
        <v/>
      </c>
      <c r="F314" s="128" t="n"/>
      <c r="G314" s="129" t="n"/>
      <c r="H314" s="112">
        <f>IF($D314="","",IF($G314="",IFERROR(INDEX(INVENTARIO!$N$7:$N$26,MATCH($D314,INVENTARIO!$B$7:$B$26,0)),""),$G314))</f>
        <v/>
      </c>
      <c r="I314" s="114">
        <f>IF($D314="","",N($F314)*IF(ISNUMBER($H314),$H314,0))</f>
        <v/>
      </c>
      <c r="J314" s="115">
        <f>IF($D314="","",IFERROR(IF(INDEX(INVENTARIO!$O$7:$O$26,MATCH($D314,INVENTARIO!$B$7:$B$26,0))="",CFG_WALMART,INDEX(INVENTARIO!$O$7:$O$26,MATCH($D314,INVENTARIO!$B$7:$B$26,0))),CFG_WALMART))</f>
        <v/>
      </c>
      <c r="K314" s="112">
        <f>IF($D314="","",$I314*$J314)</f>
        <v/>
      </c>
      <c r="L314" s="129" t="n"/>
      <c r="M314" s="114">
        <f>IF($D314="","",$I314-$K314-N($L314))</f>
        <v/>
      </c>
      <c r="N314" s="113">
        <f>IF($D314="","",IFERROR(INDEX(INVENTARIO!$L$7:$L$26,MATCH($D314,INVENTARIO!$B$7:$B$26,0))*1,0))</f>
        <v/>
      </c>
      <c r="O314" s="112">
        <f>IF($D314="","",N($F314)*$N314)</f>
        <v/>
      </c>
      <c r="P314" s="114">
        <f>IF($D314="","",$M314-$O314)</f>
        <v/>
      </c>
      <c r="Q314" s="115">
        <f>IF($D314="","",IF($I314&gt;0,$P314/$I314,""))</f>
        <v/>
      </c>
      <c r="R314" s="127" t="n"/>
    </row>
    <row r="315">
      <c r="B315" s="130" t="n"/>
      <c r="C315" s="100" t="n"/>
      <c r="D315" s="100" t="n"/>
      <c r="E315" s="96">
        <f>IF($D315="","",IFERROR(INDEX(INVENTARIO!$C$7:$C$26,MATCH($D315,INVENTARIO!$B$7:$B$26,0)),"⚠ ID no existe"))</f>
        <v/>
      </c>
      <c r="F315" s="128" t="n"/>
      <c r="G315" s="129" t="n"/>
      <c r="H315" s="112">
        <f>IF($D315="","",IF($G315="",IFERROR(INDEX(INVENTARIO!$N$7:$N$26,MATCH($D315,INVENTARIO!$B$7:$B$26,0)),""),$G315))</f>
        <v/>
      </c>
      <c r="I315" s="114">
        <f>IF($D315="","",N($F315)*IF(ISNUMBER($H315),$H315,0))</f>
        <v/>
      </c>
      <c r="J315" s="115">
        <f>IF($D315="","",IFERROR(IF(INDEX(INVENTARIO!$O$7:$O$26,MATCH($D315,INVENTARIO!$B$7:$B$26,0))="",CFG_WALMART,INDEX(INVENTARIO!$O$7:$O$26,MATCH($D315,INVENTARIO!$B$7:$B$26,0))),CFG_WALMART))</f>
        <v/>
      </c>
      <c r="K315" s="112">
        <f>IF($D315="","",$I315*$J315)</f>
        <v/>
      </c>
      <c r="L315" s="129" t="n"/>
      <c r="M315" s="114">
        <f>IF($D315="","",$I315-$K315-N($L315))</f>
        <v/>
      </c>
      <c r="N315" s="113">
        <f>IF($D315="","",IFERROR(INDEX(INVENTARIO!$L$7:$L$26,MATCH($D315,INVENTARIO!$B$7:$B$26,0))*1,0))</f>
        <v/>
      </c>
      <c r="O315" s="112">
        <f>IF($D315="","",N($F315)*$N315)</f>
        <v/>
      </c>
      <c r="P315" s="114">
        <f>IF($D315="","",$M315-$O315)</f>
        <v/>
      </c>
      <c r="Q315" s="115">
        <f>IF($D315="","",IF($I315&gt;0,$P315/$I315,""))</f>
        <v/>
      </c>
      <c r="R315" s="127" t="n"/>
    </row>
    <row r="316">
      <c r="B316" s="130" t="n"/>
      <c r="C316" s="100" t="n"/>
      <c r="D316" s="100" t="n"/>
      <c r="E316" s="96">
        <f>IF($D316="","",IFERROR(INDEX(INVENTARIO!$C$7:$C$26,MATCH($D316,INVENTARIO!$B$7:$B$26,0)),"⚠ ID no existe"))</f>
        <v/>
      </c>
      <c r="F316" s="128" t="n"/>
      <c r="G316" s="129" t="n"/>
      <c r="H316" s="112">
        <f>IF($D316="","",IF($G316="",IFERROR(INDEX(INVENTARIO!$N$7:$N$26,MATCH($D316,INVENTARIO!$B$7:$B$26,0)),""),$G316))</f>
        <v/>
      </c>
      <c r="I316" s="114">
        <f>IF($D316="","",N($F316)*IF(ISNUMBER($H316),$H316,0))</f>
        <v/>
      </c>
      <c r="J316" s="115">
        <f>IF($D316="","",IFERROR(IF(INDEX(INVENTARIO!$O$7:$O$26,MATCH($D316,INVENTARIO!$B$7:$B$26,0))="",CFG_WALMART,INDEX(INVENTARIO!$O$7:$O$26,MATCH($D316,INVENTARIO!$B$7:$B$26,0))),CFG_WALMART))</f>
        <v/>
      </c>
      <c r="K316" s="112">
        <f>IF($D316="","",$I316*$J316)</f>
        <v/>
      </c>
      <c r="L316" s="129" t="n"/>
      <c r="M316" s="114">
        <f>IF($D316="","",$I316-$K316-N($L316))</f>
        <v/>
      </c>
      <c r="N316" s="113">
        <f>IF($D316="","",IFERROR(INDEX(INVENTARIO!$L$7:$L$26,MATCH($D316,INVENTARIO!$B$7:$B$26,0))*1,0))</f>
        <v/>
      </c>
      <c r="O316" s="112">
        <f>IF($D316="","",N($F316)*$N316)</f>
        <v/>
      </c>
      <c r="P316" s="114">
        <f>IF($D316="","",$M316-$O316)</f>
        <v/>
      </c>
      <c r="Q316" s="115">
        <f>IF($D316="","",IF($I316&gt;0,$P316/$I316,""))</f>
        <v/>
      </c>
      <c r="R316" s="127" t="n"/>
    </row>
    <row r="317">
      <c r="B317" s="130" t="n"/>
      <c r="C317" s="100" t="n"/>
      <c r="D317" s="100" t="n"/>
      <c r="E317" s="96">
        <f>IF($D317="","",IFERROR(INDEX(INVENTARIO!$C$7:$C$26,MATCH($D317,INVENTARIO!$B$7:$B$26,0)),"⚠ ID no existe"))</f>
        <v/>
      </c>
      <c r="F317" s="128" t="n"/>
      <c r="G317" s="129" t="n"/>
      <c r="H317" s="112">
        <f>IF($D317="","",IF($G317="",IFERROR(INDEX(INVENTARIO!$N$7:$N$26,MATCH($D317,INVENTARIO!$B$7:$B$26,0)),""),$G317))</f>
        <v/>
      </c>
      <c r="I317" s="114">
        <f>IF($D317="","",N($F317)*IF(ISNUMBER($H317),$H317,0))</f>
        <v/>
      </c>
      <c r="J317" s="115">
        <f>IF($D317="","",IFERROR(IF(INDEX(INVENTARIO!$O$7:$O$26,MATCH($D317,INVENTARIO!$B$7:$B$26,0))="",CFG_WALMART,INDEX(INVENTARIO!$O$7:$O$26,MATCH($D317,INVENTARIO!$B$7:$B$26,0))),CFG_WALMART))</f>
        <v/>
      </c>
      <c r="K317" s="112">
        <f>IF($D317="","",$I317*$J317)</f>
        <v/>
      </c>
      <c r="L317" s="129" t="n"/>
      <c r="M317" s="114">
        <f>IF($D317="","",$I317-$K317-N($L317))</f>
        <v/>
      </c>
      <c r="N317" s="113">
        <f>IF($D317="","",IFERROR(INDEX(INVENTARIO!$L$7:$L$26,MATCH($D317,INVENTARIO!$B$7:$B$26,0))*1,0))</f>
        <v/>
      </c>
      <c r="O317" s="112">
        <f>IF($D317="","",N($F317)*$N317)</f>
        <v/>
      </c>
      <c r="P317" s="114">
        <f>IF($D317="","",$M317-$O317)</f>
        <v/>
      </c>
      <c r="Q317" s="115">
        <f>IF($D317="","",IF($I317&gt;0,$P317/$I317,""))</f>
        <v/>
      </c>
      <c r="R317" s="127" t="n"/>
    </row>
    <row r="318">
      <c r="B318" s="130" t="n"/>
      <c r="C318" s="100" t="n"/>
      <c r="D318" s="100" t="n"/>
      <c r="E318" s="96">
        <f>IF($D318="","",IFERROR(INDEX(INVENTARIO!$C$7:$C$26,MATCH($D318,INVENTARIO!$B$7:$B$26,0)),"⚠ ID no existe"))</f>
        <v/>
      </c>
      <c r="F318" s="128" t="n"/>
      <c r="G318" s="129" t="n"/>
      <c r="H318" s="112">
        <f>IF($D318="","",IF($G318="",IFERROR(INDEX(INVENTARIO!$N$7:$N$26,MATCH($D318,INVENTARIO!$B$7:$B$26,0)),""),$G318))</f>
        <v/>
      </c>
      <c r="I318" s="114">
        <f>IF($D318="","",N($F318)*IF(ISNUMBER($H318),$H318,0))</f>
        <v/>
      </c>
      <c r="J318" s="115">
        <f>IF($D318="","",IFERROR(IF(INDEX(INVENTARIO!$O$7:$O$26,MATCH($D318,INVENTARIO!$B$7:$B$26,0))="",CFG_WALMART,INDEX(INVENTARIO!$O$7:$O$26,MATCH($D318,INVENTARIO!$B$7:$B$26,0))),CFG_WALMART))</f>
        <v/>
      </c>
      <c r="K318" s="112">
        <f>IF($D318="","",$I318*$J318)</f>
        <v/>
      </c>
      <c r="L318" s="129" t="n"/>
      <c r="M318" s="114">
        <f>IF($D318="","",$I318-$K318-N($L318))</f>
        <v/>
      </c>
      <c r="N318" s="113">
        <f>IF($D318="","",IFERROR(INDEX(INVENTARIO!$L$7:$L$26,MATCH($D318,INVENTARIO!$B$7:$B$26,0))*1,0))</f>
        <v/>
      </c>
      <c r="O318" s="112">
        <f>IF($D318="","",N($F318)*$N318)</f>
        <v/>
      </c>
      <c r="P318" s="114">
        <f>IF($D318="","",$M318-$O318)</f>
        <v/>
      </c>
      <c r="Q318" s="115">
        <f>IF($D318="","",IF($I318&gt;0,$P318/$I318,""))</f>
        <v/>
      </c>
      <c r="R318" s="127" t="n"/>
    </row>
    <row r="319">
      <c r="B319" s="130" t="n"/>
      <c r="C319" s="100" t="n"/>
      <c r="D319" s="100" t="n"/>
      <c r="E319" s="96">
        <f>IF($D319="","",IFERROR(INDEX(INVENTARIO!$C$7:$C$26,MATCH($D319,INVENTARIO!$B$7:$B$26,0)),"⚠ ID no existe"))</f>
        <v/>
      </c>
      <c r="F319" s="128" t="n"/>
      <c r="G319" s="129" t="n"/>
      <c r="H319" s="112">
        <f>IF($D319="","",IF($G319="",IFERROR(INDEX(INVENTARIO!$N$7:$N$26,MATCH($D319,INVENTARIO!$B$7:$B$26,0)),""),$G319))</f>
        <v/>
      </c>
      <c r="I319" s="114">
        <f>IF($D319="","",N($F319)*IF(ISNUMBER($H319),$H319,0))</f>
        <v/>
      </c>
      <c r="J319" s="115">
        <f>IF($D319="","",IFERROR(IF(INDEX(INVENTARIO!$O$7:$O$26,MATCH($D319,INVENTARIO!$B$7:$B$26,0))="",CFG_WALMART,INDEX(INVENTARIO!$O$7:$O$26,MATCH($D319,INVENTARIO!$B$7:$B$26,0))),CFG_WALMART))</f>
        <v/>
      </c>
      <c r="K319" s="112">
        <f>IF($D319="","",$I319*$J319)</f>
        <v/>
      </c>
      <c r="L319" s="129" t="n"/>
      <c r="M319" s="114">
        <f>IF($D319="","",$I319-$K319-N($L319))</f>
        <v/>
      </c>
      <c r="N319" s="113">
        <f>IF($D319="","",IFERROR(INDEX(INVENTARIO!$L$7:$L$26,MATCH($D319,INVENTARIO!$B$7:$B$26,0))*1,0))</f>
        <v/>
      </c>
      <c r="O319" s="112">
        <f>IF($D319="","",N($F319)*$N319)</f>
        <v/>
      </c>
      <c r="P319" s="114">
        <f>IF($D319="","",$M319-$O319)</f>
        <v/>
      </c>
      <c r="Q319" s="115">
        <f>IF($D319="","",IF($I319&gt;0,$P319/$I319,""))</f>
        <v/>
      </c>
      <c r="R319" s="127" t="n"/>
    </row>
    <row r="320">
      <c r="B320" s="130" t="n"/>
      <c r="C320" s="100" t="n"/>
      <c r="D320" s="100" t="n"/>
      <c r="E320" s="96">
        <f>IF($D320="","",IFERROR(INDEX(INVENTARIO!$C$7:$C$26,MATCH($D320,INVENTARIO!$B$7:$B$26,0)),"⚠ ID no existe"))</f>
        <v/>
      </c>
      <c r="F320" s="128" t="n"/>
      <c r="G320" s="129" t="n"/>
      <c r="H320" s="112">
        <f>IF($D320="","",IF($G320="",IFERROR(INDEX(INVENTARIO!$N$7:$N$26,MATCH($D320,INVENTARIO!$B$7:$B$26,0)),""),$G320))</f>
        <v/>
      </c>
      <c r="I320" s="114">
        <f>IF($D320="","",N($F320)*IF(ISNUMBER($H320),$H320,0))</f>
        <v/>
      </c>
      <c r="J320" s="115">
        <f>IF($D320="","",IFERROR(IF(INDEX(INVENTARIO!$O$7:$O$26,MATCH($D320,INVENTARIO!$B$7:$B$26,0))="",CFG_WALMART,INDEX(INVENTARIO!$O$7:$O$26,MATCH($D320,INVENTARIO!$B$7:$B$26,0))),CFG_WALMART))</f>
        <v/>
      </c>
      <c r="K320" s="112">
        <f>IF($D320="","",$I320*$J320)</f>
        <v/>
      </c>
      <c r="L320" s="129" t="n"/>
      <c r="M320" s="114">
        <f>IF($D320="","",$I320-$K320-N($L320))</f>
        <v/>
      </c>
      <c r="N320" s="113">
        <f>IF($D320="","",IFERROR(INDEX(INVENTARIO!$L$7:$L$26,MATCH($D320,INVENTARIO!$B$7:$B$26,0))*1,0))</f>
        <v/>
      </c>
      <c r="O320" s="112">
        <f>IF($D320="","",N($F320)*$N320)</f>
        <v/>
      </c>
      <c r="P320" s="114">
        <f>IF($D320="","",$M320-$O320)</f>
        <v/>
      </c>
      <c r="Q320" s="115">
        <f>IF($D320="","",IF($I320&gt;0,$P320/$I320,""))</f>
        <v/>
      </c>
      <c r="R320" s="127" t="n"/>
    </row>
    <row r="321">
      <c r="B321" s="130" t="n"/>
      <c r="C321" s="100" t="n"/>
      <c r="D321" s="100" t="n"/>
      <c r="E321" s="96">
        <f>IF($D321="","",IFERROR(INDEX(INVENTARIO!$C$7:$C$26,MATCH($D321,INVENTARIO!$B$7:$B$26,0)),"⚠ ID no existe"))</f>
        <v/>
      </c>
      <c r="F321" s="128" t="n"/>
      <c r="G321" s="129" t="n"/>
      <c r="H321" s="112">
        <f>IF($D321="","",IF($G321="",IFERROR(INDEX(INVENTARIO!$N$7:$N$26,MATCH($D321,INVENTARIO!$B$7:$B$26,0)),""),$G321))</f>
        <v/>
      </c>
      <c r="I321" s="114">
        <f>IF($D321="","",N($F321)*IF(ISNUMBER($H321),$H321,0))</f>
        <v/>
      </c>
      <c r="J321" s="115">
        <f>IF($D321="","",IFERROR(IF(INDEX(INVENTARIO!$O$7:$O$26,MATCH($D321,INVENTARIO!$B$7:$B$26,0))="",CFG_WALMART,INDEX(INVENTARIO!$O$7:$O$26,MATCH($D321,INVENTARIO!$B$7:$B$26,0))),CFG_WALMART))</f>
        <v/>
      </c>
      <c r="K321" s="112">
        <f>IF($D321="","",$I321*$J321)</f>
        <v/>
      </c>
      <c r="L321" s="129" t="n"/>
      <c r="M321" s="114">
        <f>IF($D321="","",$I321-$K321-N($L321))</f>
        <v/>
      </c>
      <c r="N321" s="113">
        <f>IF($D321="","",IFERROR(INDEX(INVENTARIO!$L$7:$L$26,MATCH($D321,INVENTARIO!$B$7:$B$26,0))*1,0))</f>
        <v/>
      </c>
      <c r="O321" s="112">
        <f>IF($D321="","",N($F321)*$N321)</f>
        <v/>
      </c>
      <c r="P321" s="114">
        <f>IF($D321="","",$M321-$O321)</f>
        <v/>
      </c>
      <c r="Q321" s="115">
        <f>IF($D321="","",IF($I321&gt;0,$P321/$I321,""))</f>
        <v/>
      </c>
      <c r="R321" s="127" t="n"/>
    </row>
    <row r="322">
      <c r="B322" s="130" t="n"/>
      <c r="C322" s="100" t="n"/>
      <c r="D322" s="100" t="n"/>
      <c r="E322" s="96">
        <f>IF($D322="","",IFERROR(INDEX(INVENTARIO!$C$7:$C$26,MATCH($D322,INVENTARIO!$B$7:$B$26,0)),"⚠ ID no existe"))</f>
        <v/>
      </c>
      <c r="F322" s="128" t="n"/>
      <c r="G322" s="129" t="n"/>
      <c r="H322" s="112">
        <f>IF($D322="","",IF($G322="",IFERROR(INDEX(INVENTARIO!$N$7:$N$26,MATCH($D322,INVENTARIO!$B$7:$B$26,0)),""),$G322))</f>
        <v/>
      </c>
      <c r="I322" s="114">
        <f>IF($D322="","",N($F322)*IF(ISNUMBER($H322),$H322,0))</f>
        <v/>
      </c>
      <c r="J322" s="115">
        <f>IF($D322="","",IFERROR(IF(INDEX(INVENTARIO!$O$7:$O$26,MATCH($D322,INVENTARIO!$B$7:$B$26,0))="",CFG_WALMART,INDEX(INVENTARIO!$O$7:$O$26,MATCH($D322,INVENTARIO!$B$7:$B$26,0))),CFG_WALMART))</f>
        <v/>
      </c>
      <c r="K322" s="112">
        <f>IF($D322="","",$I322*$J322)</f>
        <v/>
      </c>
      <c r="L322" s="129" t="n"/>
      <c r="M322" s="114">
        <f>IF($D322="","",$I322-$K322-N($L322))</f>
        <v/>
      </c>
      <c r="N322" s="113">
        <f>IF($D322="","",IFERROR(INDEX(INVENTARIO!$L$7:$L$26,MATCH($D322,INVENTARIO!$B$7:$B$26,0))*1,0))</f>
        <v/>
      </c>
      <c r="O322" s="112">
        <f>IF($D322="","",N($F322)*$N322)</f>
        <v/>
      </c>
      <c r="P322" s="114">
        <f>IF($D322="","",$M322-$O322)</f>
        <v/>
      </c>
      <c r="Q322" s="115">
        <f>IF($D322="","",IF($I322&gt;0,$P322/$I322,""))</f>
        <v/>
      </c>
      <c r="R322" s="127" t="n"/>
    </row>
    <row r="323">
      <c r="B323" s="130" t="n"/>
      <c r="C323" s="100" t="n"/>
      <c r="D323" s="100" t="n"/>
      <c r="E323" s="96">
        <f>IF($D323="","",IFERROR(INDEX(INVENTARIO!$C$7:$C$26,MATCH($D323,INVENTARIO!$B$7:$B$26,0)),"⚠ ID no existe"))</f>
        <v/>
      </c>
      <c r="F323" s="128" t="n"/>
      <c r="G323" s="129" t="n"/>
      <c r="H323" s="112">
        <f>IF($D323="","",IF($G323="",IFERROR(INDEX(INVENTARIO!$N$7:$N$26,MATCH($D323,INVENTARIO!$B$7:$B$26,0)),""),$G323))</f>
        <v/>
      </c>
      <c r="I323" s="114">
        <f>IF($D323="","",N($F323)*IF(ISNUMBER($H323),$H323,0))</f>
        <v/>
      </c>
      <c r="J323" s="115">
        <f>IF($D323="","",IFERROR(IF(INDEX(INVENTARIO!$O$7:$O$26,MATCH($D323,INVENTARIO!$B$7:$B$26,0))="",CFG_WALMART,INDEX(INVENTARIO!$O$7:$O$26,MATCH($D323,INVENTARIO!$B$7:$B$26,0))),CFG_WALMART))</f>
        <v/>
      </c>
      <c r="K323" s="112">
        <f>IF($D323="","",$I323*$J323)</f>
        <v/>
      </c>
      <c r="L323" s="129" t="n"/>
      <c r="M323" s="114">
        <f>IF($D323="","",$I323-$K323-N($L323))</f>
        <v/>
      </c>
      <c r="N323" s="113">
        <f>IF($D323="","",IFERROR(INDEX(INVENTARIO!$L$7:$L$26,MATCH($D323,INVENTARIO!$B$7:$B$26,0))*1,0))</f>
        <v/>
      </c>
      <c r="O323" s="112">
        <f>IF($D323="","",N($F323)*$N323)</f>
        <v/>
      </c>
      <c r="P323" s="114">
        <f>IF($D323="","",$M323-$O323)</f>
        <v/>
      </c>
      <c r="Q323" s="115">
        <f>IF($D323="","",IF($I323&gt;0,$P323/$I323,""))</f>
        <v/>
      </c>
      <c r="R323" s="127" t="n"/>
    </row>
    <row r="324">
      <c r="B324" s="130" t="n"/>
      <c r="C324" s="100" t="n"/>
      <c r="D324" s="100" t="n"/>
      <c r="E324" s="96">
        <f>IF($D324="","",IFERROR(INDEX(INVENTARIO!$C$7:$C$26,MATCH($D324,INVENTARIO!$B$7:$B$26,0)),"⚠ ID no existe"))</f>
        <v/>
      </c>
      <c r="F324" s="128" t="n"/>
      <c r="G324" s="129" t="n"/>
      <c r="H324" s="112">
        <f>IF($D324="","",IF($G324="",IFERROR(INDEX(INVENTARIO!$N$7:$N$26,MATCH($D324,INVENTARIO!$B$7:$B$26,0)),""),$G324))</f>
        <v/>
      </c>
      <c r="I324" s="114">
        <f>IF($D324="","",N($F324)*IF(ISNUMBER($H324),$H324,0))</f>
        <v/>
      </c>
      <c r="J324" s="115">
        <f>IF($D324="","",IFERROR(IF(INDEX(INVENTARIO!$O$7:$O$26,MATCH($D324,INVENTARIO!$B$7:$B$26,0))="",CFG_WALMART,INDEX(INVENTARIO!$O$7:$O$26,MATCH($D324,INVENTARIO!$B$7:$B$26,0))),CFG_WALMART))</f>
        <v/>
      </c>
      <c r="K324" s="112">
        <f>IF($D324="","",$I324*$J324)</f>
        <v/>
      </c>
      <c r="L324" s="129" t="n"/>
      <c r="M324" s="114">
        <f>IF($D324="","",$I324-$K324-N($L324))</f>
        <v/>
      </c>
      <c r="N324" s="113">
        <f>IF($D324="","",IFERROR(INDEX(INVENTARIO!$L$7:$L$26,MATCH($D324,INVENTARIO!$B$7:$B$26,0))*1,0))</f>
        <v/>
      </c>
      <c r="O324" s="112">
        <f>IF($D324="","",N($F324)*$N324)</f>
        <v/>
      </c>
      <c r="P324" s="114">
        <f>IF($D324="","",$M324-$O324)</f>
        <v/>
      </c>
      <c r="Q324" s="115">
        <f>IF($D324="","",IF($I324&gt;0,$P324/$I324,""))</f>
        <v/>
      </c>
      <c r="R324" s="127" t="n"/>
    </row>
    <row r="325">
      <c r="B325" s="130" t="n"/>
      <c r="C325" s="100" t="n"/>
      <c r="D325" s="100" t="n"/>
      <c r="E325" s="96">
        <f>IF($D325="","",IFERROR(INDEX(INVENTARIO!$C$7:$C$26,MATCH($D325,INVENTARIO!$B$7:$B$26,0)),"⚠ ID no existe"))</f>
        <v/>
      </c>
      <c r="F325" s="128" t="n"/>
      <c r="G325" s="129" t="n"/>
      <c r="H325" s="112">
        <f>IF($D325="","",IF($G325="",IFERROR(INDEX(INVENTARIO!$N$7:$N$26,MATCH($D325,INVENTARIO!$B$7:$B$26,0)),""),$G325))</f>
        <v/>
      </c>
      <c r="I325" s="114">
        <f>IF($D325="","",N($F325)*IF(ISNUMBER($H325),$H325,0))</f>
        <v/>
      </c>
      <c r="J325" s="115">
        <f>IF($D325="","",IFERROR(IF(INDEX(INVENTARIO!$O$7:$O$26,MATCH($D325,INVENTARIO!$B$7:$B$26,0))="",CFG_WALMART,INDEX(INVENTARIO!$O$7:$O$26,MATCH($D325,INVENTARIO!$B$7:$B$26,0))),CFG_WALMART))</f>
        <v/>
      </c>
      <c r="K325" s="112">
        <f>IF($D325="","",$I325*$J325)</f>
        <v/>
      </c>
      <c r="L325" s="129" t="n"/>
      <c r="M325" s="114">
        <f>IF($D325="","",$I325-$K325-N($L325))</f>
        <v/>
      </c>
      <c r="N325" s="113">
        <f>IF($D325="","",IFERROR(INDEX(INVENTARIO!$L$7:$L$26,MATCH($D325,INVENTARIO!$B$7:$B$26,0))*1,0))</f>
        <v/>
      </c>
      <c r="O325" s="112">
        <f>IF($D325="","",N($F325)*$N325)</f>
        <v/>
      </c>
      <c r="P325" s="114">
        <f>IF($D325="","",$M325-$O325)</f>
        <v/>
      </c>
      <c r="Q325" s="115">
        <f>IF($D325="","",IF($I325&gt;0,$P325/$I325,""))</f>
        <v/>
      </c>
      <c r="R325" s="127" t="n"/>
    </row>
    <row r="326">
      <c r="B326" s="130" t="n"/>
      <c r="C326" s="100" t="n"/>
      <c r="D326" s="100" t="n"/>
      <c r="E326" s="96">
        <f>IF($D326="","",IFERROR(INDEX(INVENTARIO!$C$7:$C$26,MATCH($D326,INVENTARIO!$B$7:$B$26,0)),"⚠ ID no existe"))</f>
        <v/>
      </c>
      <c r="F326" s="128" t="n"/>
      <c r="G326" s="129" t="n"/>
      <c r="H326" s="112">
        <f>IF($D326="","",IF($G326="",IFERROR(INDEX(INVENTARIO!$N$7:$N$26,MATCH($D326,INVENTARIO!$B$7:$B$26,0)),""),$G326))</f>
        <v/>
      </c>
      <c r="I326" s="114">
        <f>IF($D326="","",N($F326)*IF(ISNUMBER($H326),$H326,0))</f>
        <v/>
      </c>
      <c r="J326" s="115">
        <f>IF($D326="","",IFERROR(IF(INDEX(INVENTARIO!$O$7:$O$26,MATCH($D326,INVENTARIO!$B$7:$B$26,0))="",CFG_WALMART,INDEX(INVENTARIO!$O$7:$O$26,MATCH($D326,INVENTARIO!$B$7:$B$26,0))),CFG_WALMART))</f>
        <v/>
      </c>
      <c r="K326" s="112">
        <f>IF($D326="","",$I326*$J326)</f>
        <v/>
      </c>
      <c r="L326" s="129" t="n"/>
      <c r="M326" s="114">
        <f>IF($D326="","",$I326-$K326-N($L326))</f>
        <v/>
      </c>
      <c r="N326" s="113">
        <f>IF($D326="","",IFERROR(INDEX(INVENTARIO!$L$7:$L$26,MATCH($D326,INVENTARIO!$B$7:$B$26,0))*1,0))</f>
        <v/>
      </c>
      <c r="O326" s="112">
        <f>IF($D326="","",N($F326)*$N326)</f>
        <v/>
      </c>
      <c r="P326" s="114">
        <f>IF($D326="","",$M326-$O326)</f>
        <v/>
      </c>
      <c r="Q326" s="115">
        <f>IF($D326="","",IF($I326&gt;0,$P326/$I326,""))</f>
        <v/>
      </c>
      <c r="R326" s="127" t="n"/>
    </row>
    <row r="327">
      <c r="B327" s="130" t="n"/>
      <c r="C327" s="100" t="n"/>
      <c r="D327" s="100" t="n"/>
      <c r="E327" s="96">
        <f>IF($D327="","",IFERROR(INDEX(INVENTARIO!$C$7:$C$26,MATCH($D327,INVENTARIO!$B$7:$B$26,0)),"⚠ ID no existe"))</f>
        <v/>
      </c>
      <c r="F327" s="128" t="n"/>
      <c r="G327" s="129" t="n"/>
      <c r="H327" s="112">
        <f>IF($D327="","",IF($G327="",IFERROR(INDEX(INVENTARIO!$N$7:$N$26,MATCH($D327,INVENTARIO!$B$7:$B$26,0)),""),$G327))</f>
        <v/>
      </c>
      <c r="I327" s="114">
        <f>IF($D327="","",N($F327)*IF(ISNUMBER($H327),$H327,0))</f>
        <v/>
      </c>
      <c r="J327" s="115">
        <f>IF($D327="","",IFERROR(IF(INDEX(INVENTARIO!$O$7:$O$26,MATCH($D327,INVENTARIO!$B$7:$B$26,0))="",CFG_WALMART,INDEX(INVENTARIO!$O$7:$O$26,MATCH($D327,INVENTARIO!$B$7:$B$26,0))),CFG_WALMART))</f>
        <v/>
      </c>
      <c r="K327" s="112">
        <f>IF($D327="","",$I327*$J327)</f>
        <v/>
      </c>
      <c r="L327" s="129" t="n"/>
      <c r="M327" s="114">
        <f>IF($D327="","",$I327-$K327-N($L327))</f>
        <v/>
      </c>
      <c r="N327" s="113">
        <f>IF($D327="","",IFERROR(INDEX(INVENTARIO!$L$7:$L$26,MATCH($D327,INVENTARIO!$B$7:$B$26,0))*1,0))</f>
        <v/>
      </c>
      <c r="O327" s="112">
        <f>IF($D327="","",N($F327)*$N327)</f>
        <v/>
      </c>
      <c r="P327" s="114">
        <f>IF($D327="","",$M327-$O327)</f>
        <v/>
      </c>
      <c r="Q327" s="115">
        <f>IF($D327="","",IF($I327&gt;0,$P327/$I327,""))</f>
        <v/>
      </c>
      <c r="R327" s="127" t="n"/>
    </row>
    <row r="328">
      <c r="B328" s="130" t="n"/>
      <c r="C328" s="100" t="n"/>
      <c r="D328" s="100" t="n"/>
      <c r="E328" s="96">
        <f>IF($D328="","",IFERROR(INDEX(INVENTARIO!$C$7:$C$26,MATCH($D328,INVENTARIO!$B$7:$B$26,0)),"⚠ ID no existe"))</f>
        <v/>
      </c>
      <c r="F328" s="128" t="n"/>
      <c r="G328" s="129" t="n"/>
      <c r="H328" s="112">
        <f>IF($D328="","",IF($G328="",IFERROR(INDEX(INVENTARIO!$N$7:$N$26,MATCH($D328,INVENTARIO!$B$7:$B$26,0)),""),$G328))</f>
        <v/>
      </c>
      <c r="I328" s="114">
        <f>IF($D328="","",N($F328)*IF(ISNUMBER($H328),$H328,0))</f>
        <v/>
      </c>
      <c r="J328" s="115">
        <f>IF($D328="","",IFERROR(IF(INDEX(INVENTARIO!$O$7:$O$26,MATCH($D328,INVENTARIO!$B$7:$B$26,0))="",CFG_WALMART,INDEX(INVENTARIO!$O$7:$O$26,MATCH($D328,INVENTARIO!$B$7:$B$26,0))),CFG_WALMART))</f>
        <v/>
      </c>
      <c r="K328" s="112">
        <f>IF($D328="","",$I328*$J328)</f>
        <v/>
      </c>
      <c r="L328" s="129" t="n"/>
      <c r="M328" s="114">
        <f>IF($D328="","",$I328-$K328-N($L328))</f>
        <v/>
      </c>
      <c r="N328" s="113">
        <f>IF($D328="","",IFERROR(INDEX(INVENTARIO!$L$7:$L$26,MATCH($D328,INVENTARIO!$B$7:$B$26,0))*1,0))</f>
        <v/>
      </c>
      <c r="O328" s="112">
        <f>IF($D328="","",N($F328)*$N328)</f>
        <v/>
      </c>
      <c r="P328" s="114">
        <f>IF($D328="","",$M328-$O328)</f>
        <v/>
      </c>
      <c r="Q328" s="115">
        <f>IF($D328="","",IF($I328&gt;0,$P328/$I328,""))</f>
        <v/>
      </c>
      <c r="R328" s="127" t="n"/>
    </row>
    <row r="329">
      <c r="B329" s="130" t="n"/>
      <c r="C329" s="100" t="n"/>
      <c r="D329" s="100" t="n"/>
      <c r="E329" s="96">
        <f>IF($D329="","",IFERROR(INDEX(INVENTARIO!$C$7:$C$26,MATCH($D329,INVENTARIO!$B$7:$B$26,0)),"⚠ ID no existe"))</f>
        <v/>
      </c>
      <c r="F329" s="128" t="n"/>
      <c r="G329" s="129" t="n"/>
      <c r="H329" s="112">
        <f>IF($D329="","",IF($G329="",IFERROR(INDEX(INVENTARIO!$N$7:$N$26,MATCH($D329,INVENTARIO!$B$7:$B$26,0)),""),$G329))</f>
        <v/>
      </c>
      <c r="I329" s="114">
        <f>IF($D329="","",N($F329)*IF(ISNUMBER($H329),$H329,0))</f>
        <v/>
      </c>
      <c r="J329" s="115">
        <f>IF($D329="","",IFERROR(IF(INDEX(INVENTARIO!$O$7:$O$26,MATCH($D329,INVENTARIO!$B$7:$B$26,0))="",CFG_WALMART,INDEX(INVENTARIO!$O$7:$O$26,MATCH($D329,INVENTARIO!$B$7:$B$26,0))),CFG_WALMART))</f>
        <v/>
      </c>
      <c r="K329" s="112">
        <f>IF($D329="","",$I329*$J329)</f>
        <v/>
      </c>
      <c r="L329" s="129" t="n"/>
      <c r="M329" s="114">
        <f>IF($D329="","",$I329-$K329-N($L329))</f>
        <v/>
      </c>
      <c r="N329" s="113">
        <f>IF($D329="","",IFERROR(INDEX(INVENTARIO!$L$7:$L$26,MATCH($D329,INVENTARIO!$B$7:$B$26,0))*1,0))</f>
        <v/>
      </c>
      <c r="O329" s="112">
        <f>IF($D329="","",N($F329)*$N329)</f>
        <v/>
      </c>
      <c r="P329" s="114">
        <f>IF($D329="","",$M329-$O329)</f>
        <v/>
      </c>
      <c r="Q329" s="115">
        <f>IF($D329="","",IF($I329&gt;0,$P329/$I329,""))</f>
        <v/>
      </c>
      <c r="R329" s="127" t="n"/>
    </row>
    <row r="330">
      <c r="B330" s="130" t="n"/>
      <c r="C330" s="100" t="n"/>
      <c r="D330" s="100" t="n"/>
      <c r="E330" s="96">
        <f>IF($D330="","",IFERROR(INDEX(INVENTARIO!$C$7:$C$26,MATCH($D330,INVENTARIO!$B$7:$B$26,0)),"⚠ ID no existe"))</f>
        <v/>
      </c>
      <c r="F330" s="128" t="n"/>
      <c r="G330" s="129" t="n"/>
      <c r="H330" s="112">
        <f>IF($D330="","",IF($G330="",IFERROR(INDEX(INVENTARIO!$N$7:$N$26,MATCH($D330,INVENTARIO!$B$7:$B$26,0)),""),$G330))</f>
        <v/>
      </c>
      <c r="I330" s="114">
        <f>IF($D330="","",N($F330)*IF(ISNUMBER($H330),$H330,0))</f>
        <v/>
      </c>
      <c r="J330" s="115">
        <f>IF($D330="","",IFERROR(IF(INDEX(INVENTARIO!$O$7:$O$26,MATCH($D330,INVENTARIO!$B$7:$B$26,0))="",CFG_WALMART,INDEX(INVENTARIO!$O$7:$O$26,MATCH($D330,INVENTARIO!$B$7:$B$26,0))),CFG_WALMART))</f>
        <v/>
      </c>
      <c r="K330" s="112">
        <f>IF($D330="","",$I330*$J330)</f>
        <v/>
      </c>
      <c r="L330" s="129" t="n"/>
      <c r="M330" s="114">
        <f>IF($D330="","",$I330-$K330-N($L330))</f>
        <v/>
      </c>
      <c r="N330" s="113">
        <f>IF($D330="","",IFERROR(INDEX(INVENTARIO!$L$7:$L$26,MATCH($D330,INVENTARIO!$B$7:$B$26,0))*1,0))</f>
        <v/>
      </c>
      <c r="O330" s="112">
        <f>IF($D330="","",N($F330)*$N330)</f>
        <v/>
      </c>
      <c r="P330" s="114">
        <f>IF($D330="","",$M330-$O330)</f>
        <v/>
      </c>
      <c r="Q330" s="115">
        <f>IF($D330="","",IF($I330&gt;0,$P330/$I330,""))</f>
        <v/>
      </c>
      <c r="R330" s="127" t="n"/>
    </row>
    <row r="331">
      <c r="B331" s="130" t="n"/>
      <c r="C331" s="100" t="n"/>
      <c r="D331" s="100" t="n"/>
      <c r="E331" s="96">
        <f>IF($D331="","",IFERROR(INDEX(INVENTARIO!$C$7:$C$26,MATCH($D331,INVENTARIO!$B$7:$B$26,0)),"⚠ ID no existe"))</f>
        <v/>
      </c>
      <c r="F331" s="128" t="n"/>
      <c r="G331" s="129" t="n"/>
      <c r="H331" s="112">
        <f>IF($D331="","",IF($G331="",IFERROR(INDEX(INVENTARIO!$N$7:$N$26,MATCH($D331,INVENTARIO!$B$7:$B$26,0)),""),$G331))</f>
        <v/>
      </c>
      <c r="I331" s="114">
        <f>IF($D331="","",N($F331)*IF(ISNUMBER($H331),$H331,0))</f>
        <v/>
      </c>
      <c r="J331" s="115">
        <f>IF($D331="","",IFERROR(IF(INDEX(INVENTARIO!$O$7:$O$26,MATCH($D331,INVENTARIO!$B$7:$B$26,0))="",CFG_WALMART,INDEX(INVENTARIO!$O$7:$O$26,MATCH($D331,INVENTARIO!$B$7:$B$26,0))),CFG_WALMART))</f>
        <v/>
      </c>
      <c r="K331" s="112">
        <f>IF($D331="","",$I331*$J331)</f>
        <v/>
      </c>
      <c r="L331" s="129" t="n"/>
      <c r="M331" s="114">
        <f>IF($D331="","",$I331-$K331-N($L331))</f>
        <v/>
      </c>
      <c r="N331" s="113">
        <f>IF($D331="","",IFERROR(INDEX(INVENTARIO!$L$7:$L$26,MATCH($D331,INVENTARIO!$B$7:$B$26,0))*1,0))</f>
        <v/>
      </c>
      <c r="O331" s="112">
        <f>IF($D331="","",N($F331)*$N331)</f>
        <v/>
      </c>
      <c r="P331" s="114">
        <f>IF($D331="","",$M331-$O331)</f>
        <v/>
      </c>
      <c r="Q331" s="115">
        <f>IF($D331="","",IF($I331&gt;0,$P331/$I331,""))</f>
        <v/>
      </c>
      <c r="R331" s="127" t="n"/>
    </row>
    <row r="332">
      <c r="B332" s="130" t="n"/>
      <c r="C332" s="100" t="n"/>
      <c r="D332" s="100" t="n"/>
      <c r="E332" s="96">
        <f>IF($D332="","",IFERROR(INDEX(INVENTARIO!$C$7:$C$26,MATCH($D332,INVENTARIO!$B$7:$B$26,0)),"⚠ ID no existe"))</f>
        <v/>
      </c>
      <c r="F332" s="128" t="n"/>
      <c r="G332" s="129" t="n"/>
      <c r="H332" s="112">
        <f>IF($D332="","",IF($G332="",IFERROR(INDEX(INVENTARIO!$N$7:$N$26,MATCH($D332,INVENTARIO!$B$7:$B$26,0)),""),$G332))</f>
        <v/>
      </c>
      <c r="I332" s="114">
        <f>IF($D332="","",N($F332)*IF(ISNUMBER($H332),$H332,0))</f>
        <v/>
      </c>
      <c r="J332" s="115">
        <f>IF($D332="","",IFERROR(IF(INDEX(INVENTARIO!$O$7:$O$26,MATCH($D332,INVENTARIO!$B$7:$B$26,0))="",CFG_WALMART,INDEX(INVENTARIO!$O$7:$O$26,MATCH($D332,INVENTARIO!$B$7:$B$26,0))),CFG_WALMART))</f>
        <v/>
      </c>
      <c r="K332" s="112">
        <f>IF($D332="","",$I332*$J332)</f>
        <v/>
      </c>
      <c r="L332" s="129" t="n"/>
      <c r="M332" s="114">
        <f>IF($D332="","",$I332-$K332-N($L332))</f>
        <v/>
      </c>
      <c r="N332" s="113">
        <f>IF($D332="","",IFERROR(INDEX(INVENTARIO!$L$7:$L$26,MATCH($D332,INVENTARIO!$B$7:$B$26,0))*1,0))</f>
        <v/>
      </c>
      <c r="O332" s="112">
        <f>IF($D332="","",N($F332)*$N332)</f>
        <v/>
      </c>
      <c r="P332" s="114">
        <f>IF($D332="","",$M332-$O332)</f>
        <v/>
      </c>
      <c r="Q332" s="115">
        <f>IF($D332="","",IF($I332&gt;0,$P332/$I332,""))</f>
        <v/>
      </c>
      <c r="R332" s="127" t="n"/>
    </row>
    <row r="333">
      <c r="B333" s="130" t="n"/>
      <c r="C333" s="100" t="n"/>
      <c r="D333" s="100" t="n"/>
      <c r="E333" s="96">
        <f>IF($D333="","",IFERROR(INDEX(INVENTARIO!$C$7:$C$26,MATCH($D333,INVENTARIO!$B$7:$B$26,0)),"⚠ ID no existe"))</f>
        <v/>
      </c>
      <c r="F333" s="128" t="n"/>
      <c r="G333" s="129" t="n"/>
      <c r="H333" s="112">
        <f>IF($D333="","",IF($G333="",IFERROR(INDEX(INVENTARIO!$N$7:$N$26,MATCH($D333,INVENTARIO!$B$7:$B$26,0)),""),$G333))</f>
        <v/>
      </c>
      <c r="I333" s="114">
        <f>IF($D333="","",N($F333)*IF(ISNUMBER($H333),$H333,0))</f>
        <v/>
      </c>
      <c r="J333" s="115">
        <f>IF($D333="","",IFERROR(IF(INDEX(INVENTARIO!$O$7:$O$26,MATCH($D333,INVENTARIO!$B$7:$B$26,0))="",CFG_WALMART,INDEX(INVENTARIO!$O$7:$O$26,MATCH($D333,INVENTARIO!$B$7:$B$26,0))),CFG_WALMART))</f>
        <v/>
      </c>
      <c r="K333" s="112">
        <f>IF($D333="","",$I333*$J333)</f>
        <v/>
      </c>
      <c r="L333" s="129" t="n"/>
      <c r="M333" s="114">
        <f>IF($D333="","",$I333-$K333-N($L333))</f>
        <v/>
      </c>
      <c r="N333" s="113">
        <f>IF($D333="","",IFERROR(INDEX(INVENTARIO!$L$7:$L$26,MATCH($D333,INVENTARIO!$B$7:$B$26,0))*1,0))</f>
        <v/>
      </c>
      <c r="O333" s="112">
        <f>IF($D333="","",N($F333)*$N333)</f>
        <v/>
      </c>
      <c r="P333" s="114">
        <f>IF($D333="","",$M333-$O333)</f>
        <v/>
      </c>
      <c r="Q333" s="115">
        <f>IF($D333="","",IF($I333&gt;0,$P333/$I333,""))</f>
        <v/>
      </c>
      <c r="R333" s="127" t="n"/>
    </row>
    <row r="334">
      <c r="B334" s="130" t="n"/>
      <c r="C334" s="100" t="n"/>
      <c r="D334" s="100" t="n"/>
      <c r="E334" s="96">
        <f>IF($D334="","",IFERROR(INDEX(INVENTARIO!$C$7:$C$26,MATCH($D334,INVENTARIO!$B$7:$B$26,0)),"⚠ ID no existe"))</f>
        <v/>
      </c>
      <c r="F334" s="128" t="n"/>
      <c r="G334" s="129" t="n"/>
      <c r="H334" s="112">
        <f>IF($D334="","",IF($G334="",IFERROR(INDEX(INVENTARIO!$N$7:$N$26,MATCH($D334,INVENTARIO!$B$7:$B$26,0)),""),$G334))</f>
        <v/>
      </c>
      <c r="I334" s="114">
        <f>IF($D334="","",N($F334)*IF(ISNUMBER($H334),$H334,0))</f>
        <v/>
      </c>
      <c r="J334" s="115">
        <f>IF($D334="","",IFERROR(IF(INDEX(INVENTARIO!$O$7:$O$26,MATCH($D334,INVENTARIO!$B$7:$B$26,0))="",CFG_WALMART,INDEX(INVENTARIO!$O$7:$O$26,MATCH($D334,INVENTARIO!$B$7:$B$26,0))),CFG_WALMART))</f>
        <v/>
      </c>
      <c r="K334" s="112">
        <f>IF($D334="","",$I334*$J334)</f>
        <v/>
      </c>
      <c r="L334" s="129" t="n"/>
      <c r="M334" s="114">
        <f>IF($D334="","",$I334-$K334-N($L334))</f>
        <v/>
      </c>
      <c r="N334" s="113">
        <f>IF($D334="","",IFERROR(INDEX(INVENTARIO!$L$7:$L$26,MATCH($D334,INVENTARIO!$B$7:$B$26,0))*1,0))</f>
        <v/>
      </c>
      <c r="O334" s="112">
        <f>IF($D334="","",N($F334)*$N334)</f>
        <v/>
      </c>
      <c r="P334" s="114">
        <f>IF($D334="","",$M334-$O334)</f>
        <v/>
      </c>
      <c r="Q334" s="115">
        <f>IF($D334="","",IF($I334&gt;0,$P334/$I334,""))</f>
        <v/>
      </c>
      <c r="R334" s="127" t="n"/>
    </row>
    <row r="335">
      <c r="B335" s="130" t="n"/>
      <c r="C335" s="100" t="n"/>
      <c r="D335" s="100" t="n"/>
      <c r="E335" s="96">
        <f>IF($D335="","",IFERROR(INDEX(INVENTARIO!$C$7:$C$26,MATCH($D335,INVENTARIO!$B$7:$B$26,0)),"⚠ ID no existe"))</f>
        <v/>
      </c>
      <c r="F335" s="128" t="n"/>
      <c r="G335" s="129" t="n"/>
      <c r="H335" s="112">
        <f>IF($D335="","",IF($G335="",IFERROR(INDEX(INVENTARIO!$N$7:$N$26,MATCH($D335,INVENTARIO!$B$7:$B$26,0)),""),$G335))</f>
        <v/>
      </c>
      <c r="I335" s="114">
        <f>IF($D335="","",N($F335)*IF(ISNUMBER($H335),$H335,0))</f>
        <v/>
      </c>
      <c r="J335" s="115">
        <f>IF($D335="","",IFERROR(IF(INDEX(INVENTARIO!$O$7:$O$26,MATCH($D335,INVENTARIO!$B$7:$B$26,0))="",CFG_WALMART,INDEX(INVENTARIO!$O$7:$O$26,MATCH($D335,INVENTARIO!$B$7:$B$26,0))),CFG_WALMART))</f>
        <v/>
      </c>
      <c r="K335" s="112">
        <f>IF($D335="","",$I335*$J335)</f>
        <v/>
      </c>
      <c r="L335" s="129" t="n"/>
      <c r="M335" s="114">
        <f>IF($D335="","",$I335-$K335-N($L335))</f>
        <v/>
      </c>
      <c r="N335" s="113">
        <f>IF($D335="","",IFERROR(INDEX(INVENTARIO!$L$7:$L$26,MATCH($D335,INVENTARIO!$B$7:$B$26,0))*1,0))</f>
        <v/>
      </c>
      <c r="O335" s="112">
        <f>IF($D335="","",N($F335)*$N335)</f>
        <v/>
      </c>
      <c r="P335" s="114">
        <f>IF($D335="","",$M335-$O335)</f>
        <v/>
      </c>
      <c r="Q335" s="115">
        <f>IF($D335="","",IF($I335&gt;0,$P335/$I335,""))</f>
        <v/>
      </c>
      <c r="R335" s="127" t="n"/>
    </row>
    <row r="336">
      <c r="B336" s="130" t="n"/>
      <c r="C336" s="100" t="n"/>
      <c r="D336" s="100" t="n"/>
      <c r="E336" s="96">
        <f>IF($D336="","",IFERROR(INDEX(INVENTARIO!$C$7:$C$26,MATCH($D336,INVENTARIO!$B$7:$B$26,0)),"⚠ ID no existe"))</f>
        <v/>
      </c>
      <c r="F336" s="128" t="n"/>
      <c r="G336" s="129" t="n"/>
      <c r="H336" s="112">
        <f>IF($D336="","",IF($G336="",IFERROR(INDEX(INVENTARIO!$N$7:$N$26,MATCH($D336,INVENTARIO!$B$7:$B$26,0)),""),$G336))</f>
        <v/>
      </c>
      <c r="I336" s="114">
        <f>IF($D336="","",N($F336)*IF(ISNUMBER($H336),$H336,0))</f>
        <v/>
      </c>
      <c r="J336" s="115">
        <f>IF($D336="","",IFERROR(IF(INDEX(INVENTARIO!$O$7:$O$26,MATCH($D336,INVENTARIO!$B$7:$B$26,0))="",CFG_WALMART,INDEX(INVENTARIO!$O$7:$O$26,MATCH($D336,INVENTARIO!$B$7:$B$26,0))),CFG_WALMART))</f>
        <v/>
      </c>
      <c r="K336" s="112">
        <f>IF($D336="","",$I336*$J336)</f>
        <v/>
      </c>
      <c r="L336" s="129" t="n"/>
      <c r="M336" s="114">
        <f>IF($D336="","",$I336-$K336-N($L336))</f>
        <v/>
      </c>
      <c r="N336" s="113">
        <f>IF($D336="","",IFERROR(INDEX(INVENTARIO!$L$7:$L$26,MATCH($D336,INVENTARIO!$B$7:$B$26,0))*1,0))</f>
        <v/>
      </c>
      <c r="O336" s="112">
        <f>IF($D336="","",N($F336)*$N336)</f>
        <v/>
      </c>
      <c r="P336" s="114">
        <f>IF($D336="","",$M336-$O336)</f>
        <v/>
      </c>
      <c r="Q336" s="115">
        <f>IF($D336="","",IF($I336&gt;0,$P336/$I336,""))</f>
        <v/>
      </c>
      <c r="R336" s="127" t="n"/>
    </row>
    <row r="337">
      <c r="B337" s="130" t="n"/>
      <c r="C337" s="100" t="n"/>
      <c r="D337" s="100" t="n"/>
      <c r="E337" s="96">
        <f>IF($D337="","",IFERROR(INDEX(INVENTARIO!$C$7:$C$26,MATCH($D337,INVENTARIO!$B$7:$B$26,0)),"⚠ ID no existe"))</f>
        <v/>
      </c>
      <c r="F337" s="128" t="n"/>
      <c r="G337" s="129" t="n"/>
      <c r="H337" s="112">
        <f>IF($D337="","",IF($G337="",IFERROR(INDEX(INVENTARIO!$N$7:$N$26,MATCH($D337,INVENTARIO!$B$7:$B$26,0)),""),$G337))</f>
        <v/>
      </c>
      <c r="I337" s="114">
        <f>IF($D337="","",N($F337)*IF(ISNUMBER($H337),$H337,0))</f>
        <v/>
      </c>
      <c r="J337" s="115">
        <f>IF($D337="","",IFERROR(IF(INDEX(INVENTARIO!$O$7:$O$26,MATCH($D337,INVENTARIO!$B$7:$B$26,0))="",CFG_WALMART,INDEX(INVENTARIO!$O$7:$O$26,MATCH($D337,INVENTARIO!$B$7:$B$26,0))),CFG_WALMART))</f>
        <v/>
      </c>
      <c r="K337" s="112">
        <f>IF($D337="","",$I337*$J337)</f>
        <v/>
      </c>
      <c r="L337" s="129" t="n"/>
      <c r="M337" s="114">
        <f>IF($D337="","",$I337-$K337-N($L337))</f>
        <v/>
      </c>
      <c r="N337" s="113">
        <f>IF($D337="","",IFERROR(INDEX(INVENTARIO!$L$7:$L$26,MATCH($D337,INVENTARIO!$B$7:$B$26,0))*1,0))</f>
        <v/>
      </c>
      <c r="O337" s="112">
        <f>IF($D337="","",N($F337)*$N337)</f>
        <v/>
      </c>
      <c r="P337" s="114">
        <f>IF($D337="","",$M337-$O337)</f>
        <v/>
      </c>
      <c r="Q337" s="115">
        <f>IF($D337="","",IF($I337&gt;0,$P337/$I337,""))</f>
        <v/>
      </c>
      <c r="R337" s="127" t="n"/>
    </row>
    <row r="338">
      <c r="B338" s="130" t="n"/>
      <c r="C338" s="100" t="n"/>
      <c r="D338" s="100" t="n"/>
      <c r="E338" s="96">
        <f>IF($D338="","",IFERROR(INDEX(INVENTARIO!$C$7:$C$26,MATCH($D338,INVENTARIO!$B$7:$B$26,0)),"⚠ ID no existe"))</f>
        <v/>
      </c>
      <c r="F338" s="128" t="n"/>
      <c r="G338" s="129" t="n"/>
      <c r="H338" s="112">
        <f>IF($D338="","",IF($G338="",IFERROR(INDEX(INVENTARIO!$N$7:$N$26,MATCH($D338,INVENTARIO!$B$7:$B$26,0)),""),$G338))</f>
        <v/>
      </c>
      <c r="I338" s="114">
        <f>IF($D338="","",N($F338)*IF(ISNUMBER($H338),$H338,0))</f>
        <v/>
      </c>
      <c r="J338" s="115">
        <f>IF($D338="","",IFERROR(IF(INDEX(INVENTARIO!$O$7:$O$26,MATCH($D338,INVENTARIO!$B$7:$B$26,0))="",CFG_WALMART,INDEX(INVENTARIO!$O$7:$O$26,MATCH($D338,INVENTARIO!$B$7:$B$26,0))),CFG_WALMART))</f>
        <v/>
      </c>
      <c r="K338" s="112">
        <f>IF($D338="","",$I338*$J338)</f>
        <v/>
      </c>
      <c r="L338" s="129" t="n"/>
      <c r="M338" s="114">
        <f>IF($D338="","",$I338-$K338-N($L338))</f>
        <v/>
      </c>
      <c r="N338" s="113">
        <f>IF($D338="","",IFERROR(INDEX(INVENTARIO!$L$7:$L$26,MATCH($D338,INVENTARIO!$B$7:$B$26,0))*1,0))</f>
        <v/>
      </c>
      <c r="O338" s="112">
        <f>IF($D338="","",N($F338)*$N338)</f>
        <v/>
      </c>
      <c r="P338" s="114">
        <f>IF($D338="","",$M338-$O338)</f>
        <v/>
      </c>
      <c r="Q338" s="115">
        <f>IF($D338="","",IF($I338&gt;0,$P338/$I338,""))</f>
        <v/>
      </c>
      <c r="R338" s="127" t="n"/>
    </row>
    <row r="339">
      <c r="B339" s="130" t="n"/>
      <c r="C339" s="100" t="n"/>
      <c r="D339" s="100" t="n"/>
      <c r="E339" s="96">
        <f>IF($D339="","",IFERROR(INDEX(INVENTARIO!$C$7:$C$26,MATCH($D339,INVENTARIO!$B$7:$B$26,0)),"⚠ ID no existe"))</f>
        <v/>
      </c>
      <c r="F339" s="128" t="n"/>
      <c r="G339" s="129" t="n"/>
      <c r="H339" s="112">
        <f>IF($D339="","",IF($G339="",IFERROR(INDEX(INVENTARIO!$N$7:$N$26,MATCH($D339,INVENTARIO!$B$7:$B$26,0)),""),$G339))</f>
        <v/>
      </c>
      <c r="I339" s="114">
        <f>IF($D339="","",N($F339)*IF(ISNUMBER($H339),$H339,0))</f>
        <v/>
      </c>
      <c r="J339" s="115">
        <f>IF($D339="","",IFERROR(IF(INDEX(INVENTARIO!$O$7:$O$26,MATCH($D339,INVENTARIO!$B$7:$B$26,0))="",CFG_WALMART,INDEX(INVENTARIO!$O$7:$O$26,MATCH($D339,INVENTARIO!$B$7:$B$26,0))),CFG_WALMART))</f>
        <v/>
      </c>
      <c r="K339" s="112">
        <f>IF($D339="","",$I339*$J339)</f>
        <v/>
      </c>
      <c r="L339" s="129" t="n"/>
      <c r="M339" s="114">
        <f>IF($D339="","",$I339-$K339-N($L339))</f>
        <v/>
      </c>
      <c r="N339" s="113">
        <f>IF($D339="","",IFERROR(INDEX(INVENTARIO!$L$7:$L$26,MATCH($D339,INVENTARIO!$B$7:$B$26,0))*1,0))</f>
        <v/>
      </c>
      <c r="O339" s="112">
        <f>IF($D339="","",N($F339)*$N339)</f>
        <v/>
      </c>
      <c r="P339" s="114">
        <f>IF($D339="","",$M339-$O339)</f>
        <v/>
      </c>
      <c r="Q339" s="115">
        <f>IF($D339="","",IF($I339&gt;0,$P339/$I339,""))</f>
        <v/>
      </c>
      <c r="R339" s="127" t="n"/>
    </row>
    <row r="340">
      <c r="B340" s="130" t="n"/>
      <c r="C340" s="100" t="n"/>
      <c r="D340" s="100" t="n"/>
      <c r="E340" s="96">
        <f>IF($D340="","",IFERROR(INDEX(INVENTARIO!$C$7:$C$26,MATCH($D340,INVENTARIO!$B$7:$B$26,0)),"⚠ ID no existe"))</f>
        <v/>
      </c>
      <c r="F340" s="128" t="n"/>
      <c r="G340" s="129" t="n"/>
      <c r="H340" s="112">
        <f>IF($D340="","",IF($G340="",IFERROR(INDEX(INVENTARIO!$N$7:$N$26,MATCH($D340,INVENTARIO!$B$7:$B$26,0)),""),$G340))</f>
        <v/>
      </c>
      <c r="I340" s="114">
        <f>IF($D340="","",N($F340)*IF(ISNUMBER($H340),$H340,0))</f>
        <v/>
      </c>
      <c r="J340" s="115">
        <f>IF($D340="","",IFERROR(IF(INDEX(INVENTARIO!$O$7:$O$26,MATCH($D340,INVENTARIO!$B$7:$B$26,0))="",CFG_WALMART,INDEX(INVENTARIO!$O$7:$O$26,MATCH($D340,INVENTARIO!$B$7:$B$26,0))),CFG_WALMART))</f>
        <v/>
      </c>
      <c r="K340" s="112">
        <f>IF($D340="","",$I340*$J340)</f>
        <v/>
      </c>
      <c r="L340" s="129" t="n"/>
      <c r="M340" s="114">
        <f>IF($D340="","",$I340-$K340-N($L340))</f>
        <v/>
      </c>
      <c r="N340" s="113">
        <f>IF($D340="","",IFERROR(INDEX(INVENTARIO!$L$7:$L$26,MATCH($D340,INVENTARIO!$B$7:$B$26,0))*1,0))</f>
        <v/>
      </c>
      <c r="O340" s="112">
        <f>IF($D340="","",N($F340)*$N340)</f>
        <v/>
      </c>
      <c r="P340" s="114">
        <f>IF($D340="","",$M340-$O340)</f>
        <v/>
      </c>
      <c r="Q340" s="115">
        <f>IF($D340="","",IF($I340&gt;0,$P340/$I340,""))</f>
        <v/>
      </c>
      <c r="R340" s="127" t="n"/>
    </row>
    <row r="341">
      <c r="B341" s="130" t="n"/>
      <c r="C341" s="100" t="n"/>
      <c r="D341" s="100" t="n"/>
      <c r="E341" s="96">
        <f>IF($D341="","",IFERROR(INDEX(INVENTARIO!$C$7:$C$26,MATCH($D341,INVENTARIO!$B$7:$B$26,0)),"⚠ ID no existe"))</f>
        <v/>
      </c>
      <c r="F341" s="128" t="n"/>
      <c r="G341" s="129" t="n"/>
      <c r="H341" s="112">
        <f>IF($D341="","",IF($G341="",IFERROR(INDEX(INVENTARIO!$N$7:$N$26,MATCH($D341,INVENTARIO!$B$7:$B$26,0)),""),$G341))</f>
        <v/>
      </c>
      <c r="I341" s="114">
        <f>IF($D341="","",N($F341)*IF(ISNUMBER($H341),$H341,0))</f>
        <v/>
      </c>
      <c r="J341" s="115">
        <f>IF($D341="","",IFERROR(IF(INDEX(INVENTARIO!$O$7:$O$26,MATCH($D341,INVENTARIO!$B$7:$B$26,0))="",CFG_WALMART,INDEX(INVENTARIO!$O$7:$O$26,MATCH($D341,INVENTARIO!$B$7:$B$26,0))),CFG_WALMART))</f>
        <v/>
      </c>
      <c r="K341" s="112">
        <f>IF($D341="","",$I341*$J341)</f>
        <v/>
      </c>
      <c r="L341" s="129" t="n"/>
      <c r="M341" s="114">
        <f>IF($D341="","",$I341-$K341-N($L341))</f>
        <v/>
      </c>
      <c r="N341" s="113">
        <f>IF($D341="","",IFERROR(INDEX(INVENTARIO!$L$7:$L$26,MATCH($D341,INVENTARIO!$B$7:$B$26,0))*1,0))</f>
        <v/>
      </c>
      <c r="O341" s="112">
        <f>IF($D341="","",N($F341)*$N341)</f>
        <v/>
      </c>
      <c r="P341" s="114">
        <f>IF($D341="","",$M341-$O341)</f>
        <v/>
      </c>
      <c r="Q341" s="115">
        <f>IF($D341="","",IF($I341&gt;0,$P341/$I341,""))</f>
        <v/>
      </c>
      <c r="R341" s="127" t="n"/>
    </row>
    <row r="342">
      <c r="B342" s="130" t="n"/>
      <c r="C342" s="100" t="n"/>
      <c r="D342" s="100" t="n"/>
      <c r="E342" s="96">
        <f>IF($D342="","",IFERROR(INDEX(INVENTARIO!$C$7:$C$26,MATCH($D342,INVENTARIO!$B$7:$B$26,0)),"⚠ ID no existe"))</f>
        <v/>
      </c>
      <c r="F342" s="128" t="n"/>
      <c r="G342" s="129" t="n"/>
      <c r="H342" s="112">
        <f>IF($D342="","",IF($G342="",IFERROR(INDEX(INVENTARIO!$N$7:$N$26,MATCH($D342,INVENTARIO!$B$7:$B$26,0)),""),$G342))</f>
        <v/>
      </c>
      <c r="I342" s="114">
        <f>IF($D342="","",N($F342)*IF(ISNUMBER($H342),$H342,0))</f>
        <v/>
      </c>
      <c r="J342" s="115">
        <f>IF($D342="","",IFERROR(IF(INDEX(INVENTARIO!$O$7:$O$26,MATCH($D342,INVENTARIO!$B$7:$B$26,0))="",CFG_WALMART,INDEX(INVENTARIO!$O$7:$O$26,MATCH($D342,INVENTARIO!$B$7:$B$26,0))),CFG_WALMART))</f>
        <v/>
      </c>
      <c r="K342" s="112">
        <f>IF($D342="","",$I342*$J342)</f>
        <v/>
      </c>
      <c r="L342" s="129" t="n"/>
      <c r="M342" s="114">
        <f>IF($D342="","",$I342-$K342-N($L342))</f>
        <v/>
      </c>
      <c r="N342" s="113">
        <f>IF($D342="","",IFERROR(INDEX(INVENTARIO!$L$7:$L$26,MATCH($D342,INVENTARIO!$B$7:$B$26,0))*1,0))</f>
        <v/>
      </c>
      <c r="O342" s="112">
        <f>IF($D342="","",N($F342)*$N342)</f>
        <v/>
      </c>
      <c r="P342" s="114">
        <f>IF($D342="","",$M342-$O342)</f>
        <v/>
      </c>
      <c r="Q342" s="115">
        <f>IF($D342="","",IF($I342&gt;0,$P342/$I342,""))</f>
        <v/>
      </c>
      <c r="R342" s="127" t="n"/>
    </row>
    <row r="343">
      <c r="B343" s="130" t="n"/>
      <c r="C343" s="100" t="n"/>
      <c r="D343" s="100" t="n"/>
      <c r="E343" s="96">
        <f>IF($D343="","",IFERROR(INDEX(INVENTARIO!$C$7:$C$26,MATCH($D343,INVENTARIO!$B$7:$B$26,0)),"⚠ ID no existe"))</f>
        <v/>
      </c>
      <c r="F343" s="128" t="n"/>
      <c r="G343" s="129" t="n"/>
      <c r="H343" s="112">
        <f>IF($D343="","",IF($G343="",IFERROR(INDEX(INVENTARIO!$N$7:$N$26,MATCH($D343,INVENTARIO!$B$7:$B$26,0)),""),$G343))</f>
        <v/>
      </c>
      <c r="I343" s="114">
        <f>IF($D343="","",N($F343)*IF(ISNUMBER($H343),$H343,0))</f>
        <v/>
      </c>
      <c r="J343" s="115">
        <f>IF($D343="","",IFERROR(IF(INDEX(INVENTARIO!$O$7:$O$26,MATCH($D343,INVENTARIO!$B$7:$B$26,0))="",CFG_WALMART,INDEX(INVENTARIO!$O$7:$O$26,MATCH($D343,INVENTARIO!$B$7:$B$26,0))),CFG_WALMART))</f>
        <v/>
      </c>
      <c r="K343" s="112">
        <f>IF($D343="","",$I343*$J343)</f>
        <v/>
      </c>
      <c r="L343" s="129" t="n"/>
      <c r="M343" s="114">
        <f>IF($D343="","",$I343-$K343-N($L343))</f>
        <v/>
      </c>
      <c r="N343" s="113">
        <f>IF($D343="","",IFERROR(INDEX(INVENTARIO!$L$7:$L$26,MATCH($D343,INVENTARIO!$B$7:$B$26,0))*1,0))</f>
        <v/>
      </c>
      <c r="O343" s="112">
        <f>IF($D343="","",N($F343)*$N343)</f>
        <v/>
      </c>
      <c r="P343" s="114">
        <f>IF($D343="","",$M343-$O343)</f>
        <v/>
      </c>
      <c r="Q343" s="115">
        <f>IF($D343="","",IF($I343&gt;0,$P343/$I343,""))</f>
        <v/>
      </c>
      <c r="R343" s="127" t="n"/>
    </row>
    <row r="344">
      <c r="B344" s="130" t="n"/>
      <c r="C344" s="100" t="n"/>
      <c r="D344" s="100" t="n"/>
      <c r="E344" s="96">
        <f>IF($D344="","",IFERROR(INDEX(INVENTARIO!$C$7:$C$26,MATCH($D344,INVENTARIO!$B$7:$B$26,0)),"⚠ ID no existe"))</f>
        <v/>
      </c>
      <c r="F344" s="128" t="n"/>
      <c r="G344" s="129" t="n"/>
      <c r="H344" s="112">
        <f>IF($D344="","",IF($G344="",IFERROR(INDEX(INVENTARIO!$N$7:$N$26,MATCH($D344,INVENTARIO!$B$7:$B$26,0)),""),$G344))</f>
        <v/>
      </c>
      <c r="I344" s="114">
        <f>IF($D344="","",N($F344)*IF(ISNUMBER($H344),$H344,0))</f>
        <v/>
      </c>
      <c r="J344" s="115">
        <f>IF($D344="","",IFERROR(IF(INDEX(INVENTARIO!$O$7:$O$26,MATCH($D344,INVENTARIO!$B$7:$B$26,0))="",CFG_WALMART,INDEX(INVENTARIO!$O$7:$O$26,MATCH($D344,INVENTARIO!$B$7:$B$26,0))),CFG_WALMART))</f>
        <v/>
      </c>
      <c r="K344" s="112">
        <f>IF($D344="","",$I344*$J344)</f>
        <v/>
      </c>
      <c r="L344" s="129" t="n"/>
      <c r="M344" s="114">
        <f>IF($D344="","",$I344-$K344-N($L344))</f>
        <v/>
      </c>
      <c r="N344" s="113">
        <f>IF($D344="","",IFERROR(INDEX(INVENTARIO!$L$7:$L$26,MATCH($D344,INVENTARIO!$B$7:$B$26,0))*1,0))</f>
        <v/>
      </c>
      <c r="O344" s="112">
        <f>IF($D344="","",N($F344)*$N344)</f>
        <v/>
      </c>
      <c r="P344" s="114">
        <f>IF($D344="","",$M344-$O344)</f>
        <v/>
      </c>
      <c r="Q344" s="115">
        <f>IF($D344="","",IF($I344&gt;0,$P344/$I344,""))</f>
        <v/>
      </c>
      <c r="R344" s="127" t="n"/>
    </row>
    <row r="345">
      <c r="B345" s="130" t="n"/>
      <c r="C345" s="100" t="n"/>
      <c r="D345" s="100" t="n"/>
      <c r="E345" s="96">
        <f>IF($D345="","",IFERROR(INDEX(INVENTARIO!$C$7:$C$26,MATCH($D345,INVENTARIO!$B$7:$B$26,0)),"⚠ ID no existe"))</f>
        <v/>
      </c>
      <c r="F345" s="128" t="n"/>
      <c r="G345" s="129" t="n"/>
      <c r="H345" s="112">
        <f>IF($D345="","",IF($G345="",IFERROR(INDEX(INVENTARIO!$N$7:$N$26,MATCH($D345,INVENTARIO!$B$7:$B$26,0)),""),$G345))</f>
        <v/>
      </c>
      <c r="I345" s="114">
        <f>IF($D345="","",N($F345)*IF(ISNUMBER($H345),$H345,0))</f>
        <v/>
      </c>
      <c r="J345" s="115">
        <f>IF($D345="","",IFERROR(IF(INDEX(INVENTARIO!$O$7:$O$26,MATCH($D345,INVENTARIO!$B$7:$B$26,0))="",CFG_WALMART,INDEX(INVENTARIO!$O$7:$O$26,MATCH($D345,INVENTARIO!$B$7:$B$26,0))),CFG_WALMART))</f>
        <v/>
      </c>
      <c r="K345" s="112">
        <f>IF($D345="","",$I345*$J345)</f>
        <v/>
      </c>
      <c r="L345" s="129" t="n"/>
      <c r="M345" s="114">
        <f>IF($D345="","",$I345-$K345-N($L345))</f>
        <v/>
      </c>
      <c r="N345" s="113">
        <f>IF($D345="","",IFERROR(INDEX(INVENTARIO!$L$7:$L$26,MATCH($D345,INVENTARIO!$B$7:$B$26,0))*1,0))</f>
        <v/>
      </c>
      <c r="O345" s="112">
        <f>IF($D345="","",N($F345)*$N345)</f>
        <v/>
      </c>
      <c r="P345" s="114">
        <f>IF($D345="","",$M345-$O345)</f>
        <v/>
      </c>
      <c r="Q345" s="115">
        <f>IF($D345="","",IF($I345&gt;0,$P345/$I345,""))</f>
        <v/>
      </c>
      <c r="R345" s="127" t="n"/>
    </row>
    <row r="346">
      <c r="B346" s="130" t="n"/>
      <c r="C346" s="100" t="n"/>
      <c r="D346" s="100" t="n"/>
      <c r="E346" s="96">
        <f>IF($D346="","",IFERROR(INDEX(INVENTARIO!$C$7:$C$26,MATCH($D346,INVENTARIO!$B$7:$B$26,0)),"⚠ ID no existe"))</f>
        <v/>
      </c>
      <c r="F346" s="128" t="n"/>
      <c r="G346" s="129" t="n"/>
      <c r="H346" s="112">
        <f>IF($D346="","",IF($G346="",IFERROR(INDEX(INVENTARIO!$N$7:$N$26,MATCH($D346,INVENTARIO!$B$7:$B$26,0)),""),$G346))</f>
        <v/>
      </c>
      <c r="I346" s="114">
        <f>IF($D346="","",N($F346)*IF(ISNUMBER($H346),$H346,0))</f>
        <v/>
      </c>
      <c r="J346" s="115">
        <f>IF($D346="","",IFERROR(IF(INDEX(INVENTARIO!$O$7:$O$26,MATCH($D346,INVENTARIO!$B$7:$B$26,0))="",CFG_WALMART,INDEX(INVENTARIO!$O$7:$O$26,MATCH($D346,INVENTARIO!$B$7:$B$26,0))),CFG_WALMART))</f>
        <v/>
      </c>
      <c r="K346" s="112">
        <f>IF($D346="","",$I346*$J346)</f>
        <v/>
      </c>
      <c r="L346" s="129" t="n"/>
      <c r="M346" s="114">
        <f>IF($D346="","",$I346-$K346-N($L346))</f>
        <v/>
      </c>
      <c r="N346" s="113">
        <f>IF($D346="","",IFERROR(INDEX(INVENTARIO!$L$7:$L$26,MATCH($D346,INVENTARIO!$B$7:$B$26,0))*1,0))</f>
        <v/>
      </c>
      <c r="O346" s="112">
        <f>IF($D346="","",N($F346)*$N346)</f>
        <v/>
      </c>
      <c r="P346" s="114">
        <f>IF($D346="","",$M346-$O346)</f>
        <v/>
      </c>
      <c r="Q346" s="115">
        <f>IF($D346="","",IF($I346&gt;0,$P346/$I346,""))</f>
        <v/>
      </c>
      <c r="R346" s="127" t="n"/>
    </row>
    <row r="347">
      <c r="B347" s="130" t="n"/>
      <c r="C347" s="100" t="n"/>
      <c r="D347" s="100" t="n"/>
      <c r="E347" s="96">
        <f>IF($D347="","",IFERROR(INDEX(INVENTARIO!$C$7:$C$26,MATCH($D347,INVENTARIO!$B$7:$B$26,0)),"⚠ ID no existe"))</f>
        <v/>
      </c>
      <c r="F347" s="128" t="n"/>
      <c r="G347" s="129" t="n"/>
      <c r="H347" s="112">
        <f>IF($D347="","",IF($G347="",IFERROR(INDEX(INVENTARIO!$N$7:$N$26,MATCH($D347,INVENTARIO!$B$7:$B$26,0)),""),$G347))</f>
        <v/>
      </c>
      <c r="I347" s="114">
        <f>IF($D347="","",N($F347)*IF(ISNUMBER($H347),$H347,0))</f>
        <v/>
      </c>
      <c r="J347" s="115">
        <f>IF($D347="","",IFERROR(IF(INDEX(INVENTARIO!$O$7:$O$26,MATCH($D347,INVENTARIO!$B$7:$B$26,0))="",CFG_WALMART,INDEX(INVENTARIO!$O$7:$O$26,MATCH($D347,INVENTARIO!$B$7:$B$26,0))),CFG_WALMART))</f>
        <v/>
      </c>
      <c r="K347" s="112">
        <f>IF($D347="","",$I347*$J347)</f>
        <v/>
      </c>
      <c r="L347" s="129" t="n"/>
      <c r="M347" s="114">
        <f>IF($D347="","",$I347-$K347-N($L347))</f>
        <v/>
      </c>
      <c r="N347" s="113">
        <f>IF($D347="","",IFERROR(INDEX(INVENTARIO!$L$7:$L$26,MATCH($D347,INVENTARIO!$B$7:$B$26,0))*1,0))</f>
        <v/>
      </c>
      <c r="O347" s="112">
        <f>IF($D347="","",N($F347)*$N347)</f>
        <v/>
      </c>
      <c r="P347" s="114">
        <f>IF($D347="","",$M347-$O347)</f>
        <v/>
      </c>
      <c r="Q347" s="115">
        <f>IF($D347="","",IF($I347&gt;0,$P347/$I347,""))</f>
        <v/>
      </c>
      <c r="R347" s="127" t="n"/>
    </row>
    <row r="348">
      <c r="B348" s="130" t="n"/>
      <c r="C348" s="100" t="n"/>
      <c r="D348" s="100" t="n"/>
      <c r="E348" s="96">
        <f>IF($D348="","",IFERROR(INDEX(INVENTARIO!$C$7:$C$26,MATCH($D348,INVENTARIO!$B$7:$B$26,0)),"⚠ ID no existe"))</f>
        <v/>
      </c>
      <c r="F348" s="128" t="n"/>
      <c r="G348" s="129" t="n"/>
      <c r="H348" s="112">
        <f>IF($D348="","",IF($G348="",IFERROR(INDEX(INVENTARIO!$N$7:$N$26,MATCH($D348,INVENTARIO!$B$7:$B$26,0)),""),$G348))</f>
        <v/>
      </c>
      <c r="I348" s="114">
        <f>IF($D348="","",N($F348)*IF(ISNUMBER($H348),$H348,0))</f>
        <v/>
      </c>
      <c r="J348" s="115">
        <f>IF($D348="","",IFERROR(IF(INDEX(INVENTARIO!$O$7:$O$26,MATCH($D348,INVENTARIO!$B$7:$B$26,0))="",CFG_WALMART,INDEX(INVENTARIO!$O$7:$O$26,MATCH($D348,INVENTARIO!$B$7:$B$26,0))),CFG_WALMART))</f>
        <v/>
      </c>
      <c r="K348" s="112">
        <f>IF($D348="","",$I348*$J348)</f>
        <v/>
      </c>
      <c r="L348" s="129" t="n"/>
      <c r="M348" s="114">
        <f>IF($D348="","",$I348-$K348-N($L348))</f>
        <v/>
      </c>
      <c r="N348" s="113">
        <f>IF($D348="","",IFERROR(INDEX(INVENTARIO!$L$7:$L$26,MATCH($D348,INVENTARIO!$B$7:$B$26,0))*1,0))</f>
        <v/>
      </c>
      <c r="O348" s="112">
        <f>IF($D348="","",N($F348)*$N348)</f>
        <v/>
      </c>
      <c r="P348" s="114">
        <f>IF($D348="","",$M348-$O348)</f>
        <v/>
      </c>
      <c r="Q348" s="115">
        <f>IF($D348="","",IF($I348&gt;0,$P348/$I348,""))</f>
        <v/>
      </c>
      <c r="R348" s="127" t="n"/>
    </row>
    <row r="349">
      <c r="B349" s="130" t="n"/>
      <c r="C349" s="100" t="n"/>
      <c r="D349" s="100" t="n"/>
      <c r="E349" s="96">
        <f>IF($D349="","",IFERROR(INDEX(INVENTARIO!$C$7:$C$26,MATCH($D349,INVENTARIO!$B$7:$B$26,0)),"⚠ ID no existe"))</f>
        <v/>
      </c>
      <c r="F349" s="128" t="n"/>
      <c r="G349" s="129" t="n"/>
      <c r="H349" s="112">
        <f>IF($D349="","",IF($G349="",IFERROR(INDEX(INVENTARIO!$N$7:$N$26,MATCH($D349,INVENTARIO!$B$7:$B$26,0)),""),$G349))</f>
        <v/>
      </c>
      <c r="I349" s="114">
        <f>IF($D349="","",N($F349)*IF(ISNUMBER($H349),$H349,0))</f>
        <v/>
      </c>
      <c r="J349" s="115">
        <f>IF($D349="","",IFERROR(IF(INDEX(INVENTARIO!$O$7:$O$26,MATCH($D349,INVENTARIO!$B$7:$B$26,0))="",CFG_WALMART,INDEX(INVENTARIO!$O$7:$O$26,MATCH($D349,INVENTARIO!$B$7:$B$26,0))),CFG_WALMART))</f>
        <v/>
      </c>
      <c r="K349" s="112">
        <f>IF($D349="","",$I349*$J349)</f>
        <v/>
      </c>
      <c r="L349" s="129" t="n"/>
      <c r="M349" s="114">
        <f>IF($D349="","",$I349-$K349-N($L349))</f>
        <v/>
      </c>
      <c r="N349" s="113">
        <f>IF($D349="","",IFERROR(INDEX(INVENTARIO!$L$7:$L$26,MATCH($D349,INVENTARIO!$B$7:$B$26,0))*1,0))</f>
        <v/>
      </c>
      <c r="O349" s="112">
        <f>IF($D349="","",N($F349)*$N349)</f>
        <v/>
      </c>
      <c r="P349" s="114">
        <f>IF($D349="","",$M349-$O349)</f>
        <v/>
      </c>
      <c r="Q349" s="115">
        <f>IF($D349="","",IF($I349&gt;0,$P349/$I349,""))</f>
        <v/>
      </c>
      <c r="R349" s="127" t="n"/>
    </row>
    <row r="350">
      <c r="B350" s="130" t="n"/>
      <c r="C350" s="100" t="n"/>
      <c r="D350" s="100" t="n"/>
      <c r="E350" s="96">
        <f>IF($D350="","",IFERROR(INDEX(INVENTARIO!$C$7:$C$26,MATCH($D350,INVENTARIO!$B$7:$B$26,0)),"⚠ ID no existe"))</f>
        <v/>
      </c>
      <c r="F350" s="128" t="n"/>
      <c r="G350" s="129" t="n"/>
      <c r="H350" s="112">
        <f>IF($D350="","",IF($G350="",IFERROR(INDEX(INVENTARIO!$N$7:$N$26,MATCH($D350,INVENTARIO!$B$7:$B$26,0)),""),$G350))</f>
        <v/>
      </c>
      <c r="I350" s="114">
        <f>IF($D350="","",N($F350)*IF(ISNUMBER($H350),$H350,0))</f>
        <v/>
      </c>
      <c r="J350" s="115">
        <f>IF($D350="","",IFERROR(IF(INDEX(INVENTARIO!$O$7:$O$26,MATCH($D350,INVENTARIO!$B$7:$B$26,0))="",CFG_WALMART,INDEX(INVENTARIO!$O$7:$O$26,MATCH($D350,INVENTARIO!$B$7:$B$26,0))),CFG_WALMART))</f>
        <v/>
      </c>
      <c r="K350" s="112">
        <f>IF($D350="","",$I350*$J350)</f>
        <v/>
      </c>
      <c r="L350" s="129" t="n"/>
      <c r="M350" s="114">
        <f>IF($D350="","",$I350-$K350-N($L350))</f>
        <v/>
      </c>
      <c r="N350" s="113">
        <f>IF($D350="","",IFERROR(INDEX(INVENTARIO!$L$7:$L$26,MATCH($D350,INVENTARIO!$B$7:$B$26,0))*1,0))</f>
        <v/>
      </c>
      <c r="O350" s="112">
        <f>IF($D350="","",N($F350)*$N350)</f>
        <v/>
      </c>
      <c r="P350" s="114">
        <f>IF($D350="","",$M350-$O350)</f>
        <v/>
      </c>
      <c r="Q350" s="115">
        <f>IF($D350="","",IF($I350&gt;0,$P350/$I350,""))</f>
        <v/>
      </c>
      <c r="R350" s="127" t="n"/>
    </row>
    <row r="351">
      <c r="B351" s="130" t="n"/>
      <c r="C351" s="100" t="n"/>
      <c r="D351" s="100" t="n"/>
      <c r="E351" s="96">
        <f>IF($D351="","",IFERROR(INDEX(INVENTARIO!$C$7:$C$26,MATCH($D351,INVENTARIO!$B$7:$B$26,0)),"⚠ ID no existe"))</f>
        <v/>
      </c>
      <c r="F351" s="128" t="n"/>
      <c r="G351" s="129" t="n"/>
      <c r="H351" s="112">
        <f>IF($D351="","",IF($G351="",IFERROR(INDEX(INVENTARIO!$N$7:$N$26,MATCH($D351,INVENTARIO!$B$7:$B$26,0)),""),$G351))</f>
        <v/>
      </c>
      <c r="I351" s="114">
        <f>IF($D351="","",N($F351)*IF(ISNUMBER($H351),$H351,0))</f>
        <v/>
      </c>
      <c r="J351" s="115">
        <f>IF($D351="","",IFERROR(IF(INDEX(INVENTARIO!$O$7:$O$26,MATCH($D351,INVENTARIO!$B$7:$B$26,0))="",CFG_WALMART,INDEX(INVENTARIO!$O$7:$O$26,MATCH($D351,INVENTARIO!$B$7:$B$26,0))),CFG_WALMART))</f>
        <v/>
      </c>
      <c r="K351" s="112">
        <f>IF($D351="","",$I351*$J351)</f>
        <v/>
      </c>
      <c r="L351" s="129" t="n"/>
      <c r="M351" s="114">
        <f>IF($D351="","",$I351-$K351-N($L351))</f>
        <v/>
      </c>
      <c r="N351" s="113">
        <f>IF($D351="","",IFERROR(INDEX(INVENTARIO!$L$7:$L$26,MATCH($D351,INVENTARIO!$B$7:$B$26,0))*1,0))</f>
        <v/>
      </c>
      <c r="O351" s="112">
        <f>IF($D351="","",N($F351)*$N351)</f>
        <v/>
      </c>
      <c r="P351" s="114">
        <f>IF($D351="","",$M351-$O351)</f>
        <v/>
      </c>
      <c r="Q351" s="115">
        <f>IF($D351="","",IF($I351&gt;0,$P351/$I351,""))</f>
        <v/>
      </c>
      <c r="R351" s="127" t="n"/>
    </row>
    <row r="352">
      <c r="B352" s="130" t="n"/>
      <c r="C352" s="100" t="n"/>
      <c r="D352" s="100" t="n"/>
      <c r="E352" s="96">
        <f>IF($D352="","",IFERROR(INDEX(INVENTARIO!$C$7:$C$26,MATCH($D352,INVENTARIO!$B$7:$B$26,0)),"⚠ ID no existe"))</f>
        <v/>
      </c>
      <c r="F352" s="128" t="n"/>
      <c r="G352" s="129" t="n"/>
      <c r="H352" s="112">
        <f>IF($D352="","",IF($G352="",IFERROR(INDEX(INVENTARIO!$N$7:$N$26,MATCH($D352,INVENTARIO!$B$7:$B$26,0)),""),$G352))</f>
        <v/>
      </c>
      <c r="I352" s="114">
        <f>IF($D352="","",N($F352)*IF(ISNUMBER($H352),$H352,0))</f>
        <v/>
      </c>
      <c r="J352" s="115">
        <f>IF($D352="","",IFERROR(IF(INDEX(INVENTARIO!$O$7:$O$26,MATCH($D352,INVENTARIO!$B$7:$B$26,0))="",CFG_WALMART,INDEX(INVENTARIO!$O$7:$O$26,MATCH($D352,INVENTARIO!$B$7:$B$26,0))),CFG_WALMART))</f>
        <v/>
      </c>
      <c r="K352" s="112">
        <f>IF($D352="","",$I352*$J352)</f>
        <v/>
      </c>
      <c r="L352" s="129" t="n"/>
      <c r="M352" s="114">
        <f>IF($D352="","",$I352-$K352-N($L352))</f>
        <v/>
      </c>
      <c r="N352" s="113">
        <f>IF($D352="","",IFERROR(INDEX(INVENTARIO!$L$7:$L$26,MATCH($D352,INVENTARIO!$B$7:$B$26,0))*1,0))</f>
        <v/>
      </c>
      <c r="O352" s="112">
        <f>IF($D352="","",N($F352)*$N352)</f>
        <v/>
      </c>
      <c r="P352" s="114">
        <f>IF($D352="","",$M352-$O352)</f>
        <v/>
      </c>
      <c r="Q352" s="115">
        <f>IF($D352="","",IF($I352&gt;0,$P352/$I352,""))</f>
        <v/>
      </c>
      <c r="R352" s="127" t="n"/>
    </row>
    <row r="353">
      <c r="B353" s="130" t="n"/>
      <c r="C353" s="100" t="n"/>
      <c r="D353" s="100" t="n"/>
      <c r="E353" s="96">
        <f>IF($D353="","",IFERROR(INDEX(INVENTARIO!$C$7:$C$26,MATCH($D353,INVENTARIO!$B$7:$B$26,0)),"⚠ ID no existe"))</f>
        <v/>
      </c>
      <c r="F353" s="128" t="n"/>
      <c r="G353" s="129" t="n"/>
      <c r="H353" s="112">
        <f>IF($D353="","",IF($G353="",IFERROR(INDEX(INVENTARIO!$N$7:$N$26,MATCH($D353,INVENTARIO!$B$7:$B$26,0)),""),$G353))</f>
        <v/>
      </c>
      <c r="I353" s="114">
        <f>IF($D353="","",N($F353)*IF(ISNUMBER($H353),$H353,0))</f>
        <v/>
      </c>
      <c r="J353" s="115">
        <f>IF($D353="","",IFERROR(IF(INDEX(INVENTARIO!$O$7:$O$26,MATCH($D353,INVENTARIO!$B$7:$B$26,0))="",CFG_WALMART,INDEX(INVENTARIO!$O$7:$O$26,MATCH($D353,INVENTARIO!$B$7:$B$26,0))),CFG_WALMART))</f>
        <v/>
      </c>
      <c r="K353" s="112">
        <f>IF($D353="","",$I353*$J353)</f>
        <v/>
      </c>
      <c r="L353" s="129" t="n"/>
      <c r="M353" s="114">
        <f>IF($D353="","",$I353-$K353-N($L353))</f>
        <v/>
      </c>
      <c r="N353" s="113">
        <f>IF($D353="","",IFERROR(INDEX(INVENTARIO!$L$7:$L$26,MATCH($D353,INVENTARIO!$B$7:$B$26,0))*1,0))</f>
        <v/>
      </c>
      <c r="O353" s="112">
        <f>IF($D353="","",N($F353)*$N353)</f>
        <v/>
      </c>
      <c r="P353" s="114">
        <f>IF($D353="","",$M353-$O353)</f>
        <v/>
      </c>
      <c r="Q353" s="115">
        <f>IF($D353="","",IF($I353&gt;0,$P353/$I353,""))</f>
        <v/>
      </c>
      <c r="R353" s="127" t="n"/>
    </row>
    <row r="354">
      <c r="B354" s="130" t="n"/>
      <c r="C354" s="100" t="n"/>
      <c r="D354" s="100" t="n"/>
      <c r="E354" s="96">
        <f>IF($D354="","",IFERROR(INDEX(INVENTARIO!$C$7:$C$26,MATCH($D354,INVENTARIO!$B$7:$B$26,0)),"⚠ ID no existe"))</f>
        <v/>
      </c>
      <c r="F354" s="128" t="n"/>
      <c r="G354" s="129" t="n"/>
      <c r="H354" s="112">
        <f>IF($D354="","",IF($G354="",IFERROR(INDEX(INVENTARIO!$N$7:$N$26,MATCH($D354,INVENTARIO!$B$7:$B$26,0)),""),$G354))</f>
        <v/>
      </c>
      <c r="I354" s="114">
        <f>IF($D354="","",N($F354)*IF(ISNUMBER($H354),$H354,0))</f>
        <v/>
      </c>
      <c r="J354" s="115">
        <f>IF($D354="","",IFERROR(IF(INDEX(INVENTARIO!$O$7:$O$26,MATCH($D354,INVENTARIO!$B$7:$B$26,0))="",CFG_WALMART,INDEX(INVENTARIO!$O$7:$O$26,MATCH($D354,INVENTARIO!$B$7:$B$26,0))),CFG_WALMART))</f>
        <v/>
      </c>
      <c r="K354" s="112">
        <f>IF($D354="","",$I354*$J354)</f>
        <v/>
      </c>
      <c r="L354" s="129" t="n"/>
      <c r="M354" s="114">
        <f>IF($D354="","",$I354-$K354-N($L354))</f>
        <v/>
      </c>
      <c r="N354" s="113">
        <f>IF($D354="","",IFERROR(INDEX(INVENTARIO!$L$7:$L$26,MATCH($D354,INVENTARIO!$B$7:$B$26,0))*1,0))</f>
        <v/>
      </c>
      <c r="O354" s="112">
        <f>IF($D354="","",N($F354)*$N354)</f>
        <v/>
      </c>
      <c r="P354" s="114">
        <f>IF($D354="","",$M354-$O354)</f>
        <v/>
      </c>
      <c r="Q354" s="115">
        <f>IF($D354="","",IF($I354&gt;0,$P354/$I354,""))</f>
        <v/>
      </c>
      <c r="R354" s="127" t="n"/>
    </row>
    <row r="355">
      <c r="B355" s="130" t="n"/>
      <c r="C355" s="100" t="n"/>
      <c r="D355" s="100" t="n"/>
      <c r="E355" s="96">
        <f>IF($D355="","",IFERROR(INDEX(INVENTARIO!$C$7:$C$26,MATCH($D355,INVENTARIO!$B$7:$B$26,0)),"⚠ ID no existe"))</f>
        <v/>
      </c>
      <c r="F355" s="128" t="n"/>
      <c r="G355" s="129" t="n"/>
      <c r="H355" s="112">
        <f>IF($D355="","",IF($G355="",IFERROR(INDEX(INVENTARIO!$N$7:$N$26,MATCH($D355,INVENTARIO!$B$7:$B$26,0)),""),$G355))</f>
        <v/>
      </c>
      <c r="I355" s="114">
        <f>IF($D355="","",N($F355)*IF(ISNUMBER($H355),$H355,0))</f>
        <v/>
      </c>
      <c r="J355" s="115">
        <f>IF($D355="","",IFERROR(IF(INDEX(INVENTARIO!$O$7:$O$26,MATCH($D355,INVENTARIO!$B$7:$B$26,0))="",CFG_WALMART,INDEX(INVENTARIO!$O$7:$O$26,MATCH($D355,INVENTARIO!$B$7:$B$26,0))),CFG_WALMART))</f>
        <v/>
      </c>
      <c r="K355" s="112">
        <f>IF($D355="","",$I355*$J355)</f>
        <v/>
      </c>
      <c r="L355" s="129" t="n"/>
      <c r="M355" s="114">
        <f>IF($D355="","",$I355-$K355-N($L355))</f>
        <v/>
      </c>
      <c r="N355" s="113">
        <f>IF($D355="","",IFERROR(INDEX(INVENTARIO!$L$7:$L$26,MATCH($D355,INVENTARIO!$B$7:$B$26,0))*1,0))</f>
        <v/>
      </c>
      <c r="O355" s="112">
        <f>IF($D355="","",N($F355)*$N355)</f>
        <v/>
      </c>
      <c r="P355" s="114">
        <f>IF($D355="","",$M355-$O355)</f>
        <v/>
      </c>
      <c r="Q355" s="115">
        <f>IF($D355="","",IF($I355&gt;0,$P355/$I355,""))</f>
        <v/>
      </c>
      <c r="R355" s="127" t="n"/>
    </row>
    <row r="356">
      <c r="B356" s="130" t="n"/>
      <c r="C356" s="100" t="n"/>
      <c r="D356" s="100" t="n"/>
      <c r="E356" s="96">
        <f>IF($D356="","",IFERROR(INDEX(INVENTARIO!$C$7:$C$26,MATCH($D356,INVENTARIO!$B$7:$B$26,0)),"⚠ ID no existe"))</f>
        <v/>
      </c>
      <c r="F356" s="128" t="n"/>
      <c r="G356" s="129" t="n"/>
      <c r="H356" s="112">
        <f>IF($D356="","",IF($G356="",IFERROR(INDEX(INVENTARIO!$N$7:$N$26,MATCH($D356,INVENTARIO!$B$7:$B$26,0)),""),$G356))</f>
        <v/>
      </c>
      <c r="I356" s="114">
        <f>IF($D356="","",N($F356)*IF(ISNUMBER($H356),$H356,0))</f>
        <v/>
      </c>
      <c r="J356" s="115">
        <f>IF($D356="","",IFERROR(IF(INDEX(INVENTARIO!$O$7:$O$26,MATCH($D356,INVENTARIO!$B$7:$B$26,0))="",CFG_WALMART,INDEX(INVENTARIO!$O$7:$O$26,MATCH($D356,INVENTARIO!$B$7:$B$26,0))),CFG_WALMART))</f>
        <v/>
      </c>
      <c r="K356" s="112">
        <f>IF($D356="","",$I356*$J356)</f>
        <v/>
      </c>
      <c r="L356" s="129" t="n"/>
      <c r="M356" s="114">
        <f>IF($D356="","",$I356-$K356-N($L356))</f>
        <v/>
      </c>
      <c r="N356" s="113">
        <f>IF($D356="","",IFERROR(INDEX(INVENTARIO!$L$7:$L$26,MATCH($D356,INVENTARIO!$B$7:$B$26,0))*1,0))</f>
        <v/>
      </c>
      <c r="O356" s="112">
        <f>IF($D356="","",N($F356)*$N356)</f>
        <v/>
      </c>
      <c r="P356" s="114">
        <f>IF($D356="","",$M356-$O356)</f>
        <v/>
      </c>
      <c r="Q356" s="115">
        <f>IF($D356="","",IF($I356&gt;0,$P356/$I356,""))</f>
        <v/>
      </c>
      <c r="R356" s="127" t="n"/>
    </row>
    <row r="357">
      <c r="B357" s="130" t="n"/>
      <c r="C357" s="100" t="n"/>
      <c r="D357" s="100" t="n"/>
      <c r="E357" s="96">
        <f>IF($D357="","",IFERROR(INDEX(INVENTARIO!$C$7:$C$26,MATCH($D357,INVENTARIO!$B$7:$B$26,0)),"⚠ ID no existe"))</f>
        <v/>
      </c>
      <c r="F357" s="128" t="n"/>
      <c r="G357" s="129" t="n"/>
      <c r="H357" s="112">
        <f>IF($D357="","",IF($G357="",IFERROR(INDEX(INVENTARIO!$N$7:$N$26,MATCH($D357,INVENTARIO!$B$7:$B$26,0)),""),$G357))</f>
        <v/>
      </c>
      <c r="I357" s="114">
        <f>IF($D357="","",N($F357)*IF(ISNUMBER($H357),$H357,0))</f>
        <v/>
      </c>
      <c r="J357" s="115">
        <f>IF($D357="","",IFERROR(IF(INDEX(INVENTARIO!$O$7:$O$26,MATCH($D357,INVENTARIO!$B$7:$B$26,0))="",CFG_WALMART,INDEX(INVENTARIO!$O$7:$O$26,MATCH($D357,INVENTARIO!$B$7:$B$26,0))),CFG_WALMART))</f>
        <v/>
      </c>
      <c r="K357" s="112">
        <f>IF($D357="","",$I357*$J357)</f>
        <v/>
      </c>
      <c r="L357" s="129" t="n"/>
      <c r="M357" s="114">
        <f>IF($D357="","",$I357-$K357-N($L357))</f>
        <v/>
      </c>
      <c r="N357" s="113">
        <f>IF($D357="","",IFERROR(INDEX(INVENTARIO!$L$7:$L$26,MATCH($D357,INVENTARIO!$B$7:$B$26,0))*1,0))</f>
        <v/>
      </c>
      <c r="O357" s="112">
        <f>IF($D357="","",N($F357)*$N357)</f>
        <v/>
      </c>
      <c r="P357" s="114">
        <f>IF($D357="","",$M357-$O357)</f>
        <v/>
      </c>
      <c r="Q357" s="115">
        <f>IF($D357="","",IF($I357&gt;0,$P357/$I357,""))</f>
        <v/>
      </c>
      <c r="R357" s="127" t="n"/>
    </row>
    <row r="358">
      <c r="B358" s="130" t="n"/>
      <c r="C358" s="100" t="n"/>
      <c r="D358" s="100" t="n"/>
      <c r="E358" s="96">
        <f>IF($D358="","",IFERROR(INDEX(INVENTARIO!$C$7:$C$26,MATCH($D358,INVENTARIO!$B$7:$B$26,0)),"⚠ ID no existe"))</f>
        <v/>
      </c>
      <c r="F358" s="128" t="n"/>
      <c r="G358" s="129" t="n"/>
      <c r="H358" s="112">
        <f>IF($D358="","",IF($G358="",IFERROR(INDEX(INVENTARIO!$N$7:$N$26,MATCH($D358,INVENTARIO!$B$7:$B$26,0)),""),$G358))</f>
        <v/>
      </c>
      <c r="I358" s="114">
        <f>IF($D358="","",N($F358)*IF(ISNUMBER($H358),$H358,0))</f>
        <v/>
      </c>
      <c r="J358" s="115">
        <f>IF($D358="","",IFERROR(IF(INDEX(INVENTARIO!$O$7:$O$26,MATCH($D358,INVENTARIO!$B$7:$B$26,0))="",CFG_WALMART,INDEX(INVENTARIO!$O$7:$O$26,MATCH($D358,INVENTARIO!$B$7:$B$26,0))),CFG_WALMART))</f>
        <v/>
      </c>
      <c r="K358" s="112">
        <f>IF($D358="","",$I358*$J358)</f>
        <v/>
      </c>
      <c r="L358" s="129" t="n"/>
      <c r="M358" s="114">
        <f>IF($D358="","",$I358-$K358-N($L358))</f>
        <v/>
      </c>
      <c r="N358" s="113">
        <f>IF($D358="","",IFERROR(INDEX(INVENTARIO!$L$7:$L$26,MATCH($D358,INVENTARIO!$B$7:$B$26,0))*1,0))</f>
        <v/>
      </c>
      <c r="O358" s="112">
        <f>IF($D358="","",N($F358)*$N358)</f>
        <v/>
      </c>
      <c r="P358" s="114">
        <f>IF($D358="","",$M358-$O358)</f>
        <v/>
      </c>
      <c r="Q358" s="115">
        <f>IF($D358="","",IF($I358&gt;0,$P358/$I358,""))</f>
        <v/>
      </c>
      <c r="R358" s="127" t="n"/>
    </row>
    <row r="359">
      <c r="B359" s="130" t="n"/>
      <c r="C359" s="100" t="n"/>
      <c r="D359" s="100" t="n"/>
      <c r="E359" s="96">
        <f>IF($D359="","",IFERROR(INDEX(INVENTARIO!$C$7:$C$26,MATCH($D359,INVENTARIO!$B$7:$B$26,0)),"⚠ ID no existe"))</f>
        <v/>
      </c>
      <c r="F359" s="128" t="n"/>
      <c r="G359" s="129" t="n"/>
      <c r="H359" s="112">
        <f>IF($D359="","",IF($G359="",IFERROR(INDEX(INVENTARIO!$N$7:$N$26,MATCH($D359,INVENTARIO!$B$7:$B$26,0)),""),$G359))</f>
        <v/>
      </c>
      <c r="I359" s="114">
        <f>IF($D359="","",N($F359)*IF(ISNUMBER($H359),$H359,0))</f>
        <v/>
      </c>
      <c r="J359" s="115">
        <f>IF($D359="","",IFERROR(IF(INDEX(INVENTARIO!$O$7:$O$26,MATCH($D359,INVENTARIO!$B$7:$B$26,0))="",CFG_WALMART,INDEX(INVENTARIO!$O$7:$O$26,MATCH($D359,INVENTARIO!$B$7:$B$26,0))),CFG_WALMART))</f>
        <v/>
      </c>
      <c r="K359" s="112">
        <f>IF($D359="","",$I359*$J359)</f>
        <v/>
      </c>
      <c r="L359" s="129" t="n"/>
      <c r="M359" s="114">
        <f>IF($D359="","",$I359-$K359-N($L359))</f>
        <v/>
      </c>
      <c r="N359" s="113">
        <f>IF($D359="","",IFERROR(INDEX(INVENTARIO!$L$7:$L$26,MATCH($D359,INVENTARIO!$B$7:$B$26,0))*1,0))</f>
        <v/>
      </c>
      <c r="O359" s="112">
        <f>IF($D359="","",N($F359)*$N359)</f>
        <v/>
      </c>
      <c r="P359" s="114">
        <f>IF($D359="","",$M359-$O359)</f>
        <v/>
      </c>
      <c r="Q359" s="115">
        <f>IF($D359="","",IF($I359&gt;0,$P359/$I359,""))</f>
        <v/>
      </c>
      <c r="R359" s="127" t="n"/>
    </row>
    <row r="360">
      <c r="B360" s="130" t="n"/>
      <c r="C360" s="100" t="n"/>
      <c r="D360" s="100" t="n"/>
      <c r="E360" s="96">
        <f>IF($D360="","",IFERROR(INDEX(INVENTARIO!$C$7:$C$26,MATCH($D360,INVENTARIO!$B$7:$B$26,0)),"⚠ ID no existe"))</f>
        <v/>
      </c>
      <c r="F360" s="128" t="n"/>
      <c r="G360" s="129" t="n"/>
      <c r="H360" s="112">
        <f>IF($D360="","",IF($G360="",IFERROR(INDEX(INVENTARIO!$N$7:$N$26,MATCH($D360,INVENTARIO!$B$7:$B$26,0)),""),$G360))</f>
        <v/>
      </c>
      <c r="I360" s="114">
        <f>IF($D360="","",N($F360)*IF(ISNUMBER($H360),$H360,0))</f>
        <v/>
      </c>
      <c r="J360" s="115">
        <f>IF($D360="","",IFERROR(IF(INDEX(INVENTARIO!$O$7:$O$26,MATCH($D360,INVENTARIO!$B$7:$B$26,0))="",CFG_WALMART,INDEX(INVENTARIO!$O$7:$O$26,MATCH($D360,INVENTARIO!$B$7:$B$26,0))),CFG_WALMART))</f>
        <v/>
      </c>
      <c r="K360" s="112">
        <f>IF($D360="","",$I360*$J360)</f>
        <v/>
      </c>
      <c r="L360" s="129" t="n"/>
      <c r="M360" s="114">
        <f>IF($D360="","",$I360-$K360-N($L360))</f>
        <v/>
      </c>
      <c r="N360" s="113">
        <f>IF($D360="","",IFERROR(INDEX(INVENTARIO!$L$7:$L$26,MATCH($D360,INVENTARIO!$B$7:$B$26,0))*1,0))</f>
        <v/>
      </c>
      <c r="O360" s="112">
        <f>IF($D360="","",N($F360)*$N360)</f>
        <v/>
      </c>
      <c r="P360" s="114">
        <f>IF($D360="","",$M360-$O360)</f>
        <v/>
      </c>
      <c r="Q360" s="115">
        <f>IF($D360="","",IF($I360&gt;0,$P360/$I360,""))</f>
        <v/>
      </c>
      <c r="R360" s="127" t="n"/>
    </row>
    <row r="361">
      <c r="B361" s="130" t="n"/>
      <c r="C361" s="100" t="n"/>
      <c r="D361" s="100" t="n"/>
      <c r="E361" s="96">
        <f>IF($D361="","",IFERROR(INDEX(INVENTARIO!$C$7:$C$26,MATCH($D361,INVENTARIO!$B$7:$B$26,0)),"⚠ ID no existe"))</f>
        <v/>
      </c>
      <c r="F361" s="128" t="n"/>
      <c r="G361" s="129" t="n"/>
      <c r="H361" s="112">
        <f>IF($D361="","",IF($G361="",IFERROR(INDEX(INVENTARIO!$N$7:$N$26,MATCH($D361,INVENTARIO!$B$7:$B$26,0)),""),$G361))</f>
        <v/>
      </c>
      <c r="I361" s="114">
        <f>IF($D361="","",N($F361)*IF(ISNUMBER($H361),$H361,0))</f>
        <v/>
      </c>
      <c r="J361" s="115">
        <f>IF($D361="","",IFERROR(IF(INDEX(INVENTARIO!$O$7:$O$26,MATCH($D361,INVENTARIO!$B$7:$B$26,0))="",CFG_WALMART,INDEX(INVENTARIO!$O$7:$O$26,MATCH($D361,INVENTARIO!$B$7:$B$26,0))),CFG_WALMART))</f>
        <v/>
      </c>
      <c r="K361" s="112">
        <f>IF($D361="","",$I361*$J361)</f>
        <v/>
      </c>
      <c r="L361" s="129" t="n"/>
      <c r="M361" s="114">
        <f>IF($D361="","",$I361-$K361-N($L361))</f>
        <v/>
      </c>
      <c r="N361" s="113">
        <f>IF($D361="","",IFERROR(INDEX(INVENTARIO!$L$7:$L$26,MATCH($D361,INVENTARIO!$B$7:$B$26,0))*1,0))</f>
        <v/>
      </c>
      <c r="O361" s="112">
        <f>IF($D361="","",N($F361)*$N361)</f>
        <v/>
      </c>
      <c r="P361" s="114">
        <f>IF($D361="","",$M361-$O361)</f>
        <v/>
      </c>
      <c r="Q361" s="115">
        <f>IF($D361="","",IF($I361&gt;0,$P361/$I361,""))</f>
        <v/>
      </c>
      <c r="R361" s="127" t="n"/>
    </row>
    <row r="362">
      <c r="B362" s="130" t="n"/>
      <c r="C362" s="100" t="n"/>
      <c r="D362" s="100" t="n"/>
      <c r="E362" s="96">
        <f>IF($D362="","",IFERROR(INDEX(INVENTARIO!$C$7:$C$26,MATCH($D362,INVENTARIO!$B$7:$B$26,0)),"⚠ ID no existe"))</f>
        <v/>
      </c>
      <c r="F362" s="128" t="n"/>
      <c r="G362" s="129" t="n"/>
      <c r="H362" s="112">
        <f>IF($D362="","",IF($G362="",IFERROR(INDEX(INVENTARIO!$N$7:$N$26,MATCH($D362,INVENTARIO!$B$7:$B$26,0)),""),$G362))</f>
        <v/>
      </c>
      <c r="I362" s="114">
        <f>IF($D362="","",N($F362)*IF(ISNUMBER($H362),$H362,0))</f>
        <v/>
      </c>
      <c r="J362" s="115">
        <f>IF($D362="","",IFERROR(IF(INDEX(INVENTARIO!$O$7:$O$26,MATCH($D362,INVENTARIO!$B$7:$B$26,0))="",CFG_WALMART,INDEX(INVENTARIO!$O$7:$O$26,MATCH($D362,INVENTARIO!$B$7:$B$26,0))),CFG_WALMART))</f>
        <v/>
      </c>
      <c r="K362" s="112">
        <f>IF($D362="","",$I362*$J362)</f>
        <v/>
      </c>
      <c r="L362" s="129" t="n"/>
      <c r="M362" s="114">
        <f>IF($D362="","",$I362-$K362-N($L362))</f>
        <v/>
      </c>
      <c r="N362" s="113">
        <f>IF($D362="","",IFERROR(INDEX(INVENTARIO!$L$7:$L$26,MATCH($D362,INVENTARIO!$B$7:$B$26,0))*1,0))</f>
        <v/>
      </c>
      <c r="O362" s="112">
        <f>IF($D362="","",N($F362)*$N362)</f>
        <v/>
      </c>
      <c r="P362" s="114">
        <f>IF($D362="","",$M362-$O362)</f>
        <v/>
      </c>
      <c r="Q362" s="115">
        <f>IF($D362="","",IF($I362&gt;0,$P362/$I362,""))</f>
        <v/>
      </c>
      <c r="R362" s="127" t="n"/>
    </row>
    <row r="363">
      <c r="B363" s="130" t="n"/>
      <c r="C363" s="100" t="n"/>
      <c r="D363" s="100" t="n"/>
      <c r="E363" s="96">
        <f>IF($D363="","",IFERROR(INDEX(INVENTARIO!$C$7:$C$26,MATCH($D363,INVENTARIO!$B$7:$B$26,0)),"⚠ ID no existe"))</f>
        <v/>
      </c>
      <c r="F363" s="128" t="n"/>
      <c r="G363" s="129" t="n"/>
      <c r="H363" s="112">
        <f>IF($D363="","",IF($G363="",IFERROR(INDEX(INVENTARIO!$N$7:$N$26,MATCH($D363,INVENTARIO!$B$7:$B$26,0)),""),$G363))</f>
        <v/>
      </c>
      <c r="I363" s="114">
        <f>IF($D363="","",N($F363)*IF(ISNUMBER($H363),$H363,0))</f>
        <v/>
      </c>
      <c r="J363" s="115">
        <f>IF($D363="","",IFERROR(IF(INDEX(INVENTARIO!$O$7:$O$26,MATCH($D363,INVENTARIO!$B$7:$B$26,0))="",CFG_WALMART,INDEX(INVENTARIO!$O$7:$O$26,MATCH($D363,INVENTARIO!$B$7:$B$26,0))),CFG_WALMART))</f>
        <v/>
      </c>
      <c r="K363" s="112">
        <f>IF($D363="","",$I363*$J363)</f>
        <v/>
      </c>
      <c r="L363" s="129" t="n"/>
      <c r="M363" s="114">
        <f>IF($D363="","",$I363-$K363-N($L363))</f>
        <v/>
      </c>
      <c r="N363" s="113">
        <f>IF($D363="","",IFERROR(INDEX(INVENTARIO!$L$7:$L$26,MATCH($D363,INVENTARIO!$B$7:$B$26,0))*1,0))</f>
        <v/>
      </c>
      <c r="O363" s="112">
        <f>IF($D363="","",N($F363)*$N363)</f>
        <v/>
      </c>
      <c r="P363" s="114">
        <f>IF($D363="","",$M363-$O363)</f>
        <v/>
      </c>
      <c r="Q363" s="115">
        <f>IF($D363="","",IF($I363&gt;0,$P363/$I363,""))</f>
        <v/>
      </c>
      <c r="R363" s="127" t="n"/>
    </row>
    <row r="364">
      <c r="B364" s="130" t="n"/>
      <c r="C364" s="100" t="n"/>
      <c r="D364" s="100" t="n"/>
      <c r="E364" s="96">
        <f>IF($D364="","",IFERROR(INDEX(INVENTARIO!$C$7:$C$26,MATCH($D364,INVENTARIO!$B$7:$B$26,0)),"⚠ ID no existe"))</f>
        <v/>
      </c>
      <c r="F364" s="128" t="n"/>
      <c r="G364" s="129" t="n"/>
      <c r="H364" s="112">
        <f>IF($D364="","",IF($G364="",IFERROR(INDEX(INVENTARIO!$N$7:$N$26,MATCH($D364,INVENTARIO!$B$7:$B$26,0)),""),$G364))</f>
        <v/>
      </c>
      <c r="I364" s="114">
        <f>IF($D364="","",N($F364)*IF(ISNUMBER($H364),$H364,0))</f>
        <v/>
      </c>
      <c r="J364" s="115">
        <f>IF($D364="","",IFERROR(IF(INDEX(INVENTARIO!$O$7:$O$26,MATCH($D364,INVENTARIO!$B$7:$B$26,0))="",CFG_WALMART,INDEX(INVENTARIO!$O$7:$O$26,MATCH($D364,INVENTARIO!$B$7:$B$26,0))),CFG_WALMART))</f>
        <v/>
      </c>
      <c r="K364" s="112">
        <f>IF($D364="","",$I364*$J364)</f>
        <v/>
      </c>
      <c r="L364" s="129" t="n"/>
      <c r="M364" s="114">
        <f>IF($D364="","",$I364-$K364-N($L364))</f>
        <v/>
      </c>
      <c r="N364" s="113">
        <f>IF($D364="","",IFERROR(INDEX(INVENTARIO!$L$7:$L$26,MATCH($D364,INVENTARIO!$B$7:$B$26,0))*1,0))</f>
        <v/>
      </c>
      <c r="O364" s="112">
        <f>IF($D364="","",N($F364)*$N364)</f>
        <v/>
      </c>
      <c r="P364" s="114">
        <f>IF($D364="","",$M364-$O364)</f>
        <v/>
      </c>
      <c r="Q364" s="115">
        <f>IF($D364="","",IF($I364&gt;0,$P364/$I364,""))</f>
        <v/>
      </c>
      <c r="R364" s="127" t="n"/>
    </row>
    <row r="365">
      <c r="B365" s="130" t="n"/>
      <c r="C365" s="100" t="n"/>
      <c r="D365" s="100" t="n"/>
      <c r="E365" s="96">
        <f>IF($D365="","",IFERROR(INDEX(INVENTARIO!$C$7:$C$26,MATCH($D365,INVENTARIO!$B$7:$B$26,0)),"⚠ ID no existe"))</f>
        <v/>
      </c>
      <c r="F365" s="128" t="n"/>
      <c r="G365" s="129" t="n"/>
      <c r="H365" s="112">
        <f>IF($D365="","",IF($G365="",IFERROR(INDEX(INVENTARIO!$N$7:$N$26,MATCH($D365,INVENTARIO!$B$7:$B$26,0)),""),$G365))</f>
        <v/>
      </c>
      <c r="I365" s="114">
        <f>IF($D365="","",N($F365)*IF(ISNUMBER($H365),$H365,0))</f>
        <v/>
      </c>
      <c r="J365" s="115">
        <f>IF($D365="","",IFERROR(IF(INDEX(INVENTARIO!$O$7:$O$26,MATCH($D365,INVENTARIO!$B$7:$B$26,0))="",CFG_WALMART,INDEX(INVENTARIO!$O$7:$O$26,MATCH($D365,INVENTARIO!$B$7:$B$26,0))),CFG_WALMART))</f>
        <v/>
      </c>
      <c r="K365" s="112">
        <f>IF($D365="","",$I365*$J365)</f>
        <v/>
      </c>
      <c r="L365" s="129" t="n"/>
      <c r="M365" s="114">
        <f>IF($D365="","",$I365-$K365-N($L365))</f>
        <v/>
      </c>
      <c r="N365" s="113">
        <f>IF($D365="","",IFERROR(INDEX(INVENTARIO!$L$7:$L$26,MATCH($D365,INVENTARIO!$B$7:$B$26,0))*1,0))</f>
        <v/>
      </c>
      <c r="O365" s="112">
        <f>IF($D365="","",N($F365)*$N365)</f>
        <v/>
      </c>
      <c r="P365" s="114">
        <f>IF($D365="","",$M365-$O365)</f>
        <v/>
      </c>
      <c r="Q365" s="115">
        <f>IF($D365="","",IF($I365&gt;0,$P365/$I365,""))</f>
        <v/>
      </c>
      <c r="R365" s="127" t="n"/>
    </row>
    <row r="366">
      <c r="B366" s="130" t="n"/>
      <c r="C366" s="100" t="n"/>
      <c r="D366" s="100" t="n"/>
      <c r="E366" s="96">
        <f>IF($D366="","",IFERROR(INDEX(INVENTARIO!$C$7:$C$26,MATCH($D366,INVENTARIO!$B$7:$B$26,0)),"⚠ ID no existe"))</f>
        <v/>
      </c>
      <c r="F366" s="128" t="n"/>
      <c r="G366" s="129" t="n"/>
      <c r="H366" s="112">
        <f>IF($D366="","",IF($G366="",IFERROR(INDEX(INVENTARIO!$N$7:$N$26,MATCH($D366,INVENTARIO!$B$7:$B$26,0)),""),$G366))</f>
        <v/>
      </c>
      <c r="I366" s="114">
        <f>IF($D366="","",N($F366)*IF(ISNUMBER($H366),$H366,0))</f>
        <v/>
      </c>
      <c r="J366" s="115">
        <f>IF($D366="","",IFERROR(IF(INDEX(INVENTARIO!$O$7:$O$26,MATCH($D366,INVENTARIO!$B$7:$B$26,0))="",CFG_WALMART,INDEX(INVENTARIO!$O$7:$O$26,MATCH($D366,INVENTARIO!$B$7:$B$26,0))),CFG_WALMART))</f>
        <v/>
      </c>
      <c r="K366" s="112">
        <f>IF($D366="","",$I366*$J366)</f>
        <v/>
      </c>
      <c r="L366" s="129" t="n"/>
      <c r="M366" s="114">
        <f>IF($D366="","",$I366-$K366-N($L366))</f>
        <v/>
      </c>
      <c r="N366" s="113">
        <f>IF($D366="","",IFERROR(INDEX(INVENTARIO!$L$7:$L$26,MATCH($D366,INVENTARIO!$B$7:$B$26,0))*1,0))</f>
        <v/>
      </c>
      <c r="O366" s="112">
        <f>IF($D366="","",N($F366)*$N366)</f>
        <v/>
      </c>
      <c r="P366" s="114">
        <f>IF($D366="","",$M366-$O366)</f>
        <v/>
      </c>
      <c r="Q366" s="115">
        <f>IF($D366="","",IF($I366&gt;0,$P366/$I366,""))</f>
        <v/>
      </c>
      <c r="R366" s="127" t="n"/>
    </row>
    <row r="367">
      <c r="B367" s="130" t="n"/>
      <c r="C367" s="100" t="n"/>
      <c r="D367" s="100" t="n"/>
      <c r="E367" s="96">
        <f>IF($D367="","",IFERROR(INDEX(INVENTARIO!$C$7:$C$26,MATCH($D367,INVENTARIO!$B$7:$B$26,0)),"⚠ ID no existe"))</f>
        <v/>
      </c>
      <c r="F367" s="128" t="n"/>
      <c r="G367" s="129" t="n"/>
      <c r="H367" s="112">
        <f>IF($D367="","",IF($G367="",IFERROR(INDEX(INVENTARIO!$N$7:$N$26,MATCH($D367,INVENTARIO!$B$7:$B$26,0)),""),$G367))</f>
        <v/>
      </c>
      <c r="I367" s="114">
        <f>IF($D367="","",N($F367)*IF(ISNUMBER($H367),$H367,0))</f>
        <v/>
      </c>
      <c r="J367" s="115">
        <f>IF($D367="","",IFERROR(IF(INDEX(INVENTARIO!$O$7:$O$26,MATCH($D367,INVENTARIO!$B$7:$B$26,0))="",CFG_WALMART,INDEX(INVENTARIO!$O$7:$O$26,MATCH($D367,INVENTARIO!$B$7:$B$26,0))),CFG_WALMART))</f>
        <v/>
      </c>
      <c r="K367" s="112">
        <f>IF($D367="","",$I367*$J367)</f>
        <v/>
      </c>
      <c r="L367" s="129" t="n"/>
      <c r="M367" s="114">
        <f>IF($D367="","",$I367-$K367-N($L367))</f>
        <v/>
      </c>
      <c r="N367" s="113">
        <f>IF($D367="","",IFERROR(INDEX(INVENTARIO!$L$7:$L$26,MATCH($D367,INVENTARIO!$B$7:$B$26,0))*1,0))</f>
        <v/>
      </c>
      <c r="O367" s="112">
        <f>IF($D367="","",N($F367)*$N367)</f>
        <v/>
      </c>
      <c r="P367" s="114">
        <f>IF($D367="","",$M367-$O367)</f>
        <v/>
      </c>
      <c r="Q367" s="115">
        <f>IF($D367="","",IF($I367&gt;0,$P367/$I367,""))</f>
        <v/>
      </c>
      <c r="R367" s="127" t="n"/>
    </row>
    <row r="368">
      <c r="B368" s="130" t="n"/>
      <c r="C368" s="100" t="n"/>
      <c r="D368" s="100" t="n"/>
      <c r="E368" s="96">
        <f>IF($D368="","",IFERROR(INDEX(INVENTARIO!$C$7:$C$26,MATCH($D368,INVENTARIO!$B$7:$B$26,0)),"⚠ ID no existe"))</f>
        <v/>
      </c>
      <c r="F368" s="128" t="n"/>
      <c r="G368" s="129" t="n"/>
      <c r="H368" s="112">
        <f>IF($D368="","",IF($G368="",IFERROR(INDEX(INVENTARIO!$N$7:$N$26,MATCH($D368,INVENTARIO!$B$7:$B$26,0)),""),$G368))</f>
        <v/>
      </c>
      <c r="I368" s="114">
        <f>IF($D368="","",N($F368)*IF(ISNUMBER($H368),$H368,0))</f>
        <v/>
      </c>
      <c r="J368" s="115">
        <f>IF($D368="","",IFERROR(IF(INDEX(INVENTARIO!$O$7:$O$26,MATCH($D368,INVENTARIO!$B$7:$B$26,0))="",CFG_WALMART,INDEX(INVENTARIO!$O$7:$O$26,MATCH($D368,INVENTARIO!$B$7:$B$26,0))),CFG_WALMART))</f>
        <v/>
      </c>
      <c r="K368" s="112">
        <f>IF($D368="","",$I368*$J368)</f>
        <v/>
      </c>
      <c r="L368" s="129" t="n"/>
      <c r="M368" s="114">
        <f>IF($D368="","",$I368-$K368-N($L368))</f>
        <v/>
      </c>
      <c r="N368" s="113">
        <f>IF($D368="","",IFERROR(INDEX(INVENTARIO!$L$7:$L$26,MATCH($D368,INVENTARIO!$B$7:$B$26,0))*1,0))</f>
        <v/>
      </c>
      <c r="O368" s="112">
        <f>IF($D368="","",N($F368)*$N368)</f>
        <v/>
      </c>
      <c r="P368" s="114">
        <f>IF($D368="","",$M368-$O368)</f>
        <v/>
      </c>
      <c r="Q368" s="115">
        <f>IF($D368="","",IF($I368&gt;0,$P368/$I368,""))</f>
        <v/>
      </c>
      <c r="R368" s="127" t="n"/>
    </row>
    <row r="369">
      <c r="B369" s="130" t="n"/>
      <c r="C369" s="100" t="n"/>
      <c r="D369" s="100" t="n"/>
      <c r="E369" s="96">
        <f>IF($D369="","",IFERROR(INDEX(INVENTARIO!$C$7:$C$26,MATCH($D369,INVENTARIO!$B$7:$B$26,0)),"⚠ ID no existe"))</f>
        <v/>
      </c>
      <c r="F369" s="128" t="n"/>
      <c r="G369" s="129" t="n"/>
      <c r="H369" s="112">
        <f>IF($D369="","",IF($G369="",IFERROR(INDEX(INVENTARIO!$N$7:$N$26,MATCH($D369,INVENTARIO!$B$7:$B$26,0)),""),$G369))</f>
        <v/>
      </c>
      <c r="I369" s="114">
        <f>IF($D369="","",N($F369)*IF(ISNUMBER($H369),$H369,0))</f>
        <v/>
      </c>
      <c r="J369" s="115">
        <f>IF($D369="","",IFERROR(IF(INDEX(INVENTARIO!$O$7:$O$26,MATCH($D369,INVENTARIO!$B$7:$B$26,0))="",CFG_WALMART,INDEX(INVENTARIO!$O$7:$O$26,MATCH($D369,INVENTARIO!$B$7:$B$26,0))),CFG_WALMART))</f>
        <v/>
      </c>
      <c r="K369" s="112">
        <f>IF($D369="","",$I369*$J369)</f>
        <v/>
      </c>
      <c r="L369" s="129" t="n"/>
      <c r="M369" s="114">
        <f>IF($D369="","",$I369-$K369-N($L369))</f>
        <v/>
      </c>
      <c r="N369" s="113">
        <f>IF($D369="","",IFERROR(INDEX(INVENTARIO!$L$7:$L$26,MATCH($D369,INVENTARIO!$B$7:$B$26,0))*1,0))</f>
        <v/>
      </c>
      <c r="O369" s="112">
        <f>IF($D369="","",N($F369)*$N369)</f>
        <v/>
      </c>
      <c r="P369" s="114">
        <f>IF($D369="","",$M369-$O369)</f>
        <v/>
      </c>
      <c r="Q369" s="115">
        <f>IF($D369="","",IF($I369&gt;0,$P369/$I369,""))</f>
        <v/>
      </c>
      <c r="R369" s="127" t="n"/>
    </row>
    <row r="370">
      <c r="B370" s="130" t="n"/>
      <c r="C370" s="100" t="n"/>
      <c r="D370" s="100" t="n"/>
      <c r="E370" s="96">
        <f>IF($D370="","",IFERROR(INDEX(INVENTARIO!$C$7:$C$26,MATCH($D370,INVENTARIO!$B$7:$B$26,0)),"⚠ ID no existe"))</f>
        <v/>
      </c>
      <c r="F370" s="128" t="n"/>
      <c r="G370" s="129" t="n"/>
      <c r="H370" s="112">
        <f>IF($D370="","",IF($G370="",IFERROR(INDEX(INVENTARIO!$N$7:$N$26,MATCH($D370,INVENTARIO!$B$7:$B$26,0)),""),$G370))</f>
        <v/>
      </c>
      <c r="I370" s="114">
        <f>IF($D370="","",N($F370)*IF(ISNUMBER($H370),$H370,0))</f>
        <v/>
      </c>
      <c r="J370" s="115">
        <f>IF($D370="","",IFERROR(IF(INDEX(INVENTARIO!$O$7:$O$26,MATCH($D370,INVENTARIO!$B$7:$B$26,0))="",CFG_WALMART,INDEX(INVENTARIO!$O$7:$O$26,MATCH($D370,INVENTARIO!$B$7:$B$26,0))),CFG_WALMART))</f>
        <v/>
      </c>
      <c r="K370" s="112">
        <f>IF($D370="","",$I370*$J370)</f>
        <v/>
      </c>
      <c r="L370" s="129" t="n"/>
      <c r="M370" s="114">
        <f>IF($D370="","",$I370-$K370-N($L370))</f>
        <v/>
      </c>
      <c r="N370" s="113">
        <f>IF($D370="","",IFERROR(INDEX(INVENTARIO!$L$7:$L$26,MATCH($D370,INVENTARIO!$B$7:$B$26,0))*1,0))</f>
        <v/>
      </c>
      <c r="O370" s="112">
        <f>IF($D370="","",N($F370)*$N370)</f>
        <v/>
      </c>
      <c r="P370" s="114">
        <f>IF($D370="","",$M370-$O370)</f>
        <v/>
      </c>
      <c r="Q370" s="115">
        <f>IF($D370="","",IF($I370&gt;0,$P370/$I370,""))</f>
        <v/>
      </c>
      <c r="R370" s="127" t="n"/>
    </row>
    <row r="371">
      <c r="B371" s="130" t="n"/>
      <c r="C371" s="100" t="n"/>
      <c r="D371" s="100" t="n"/>
      <c r="E371" s="96">
        <f>IF($D371="","",IFERROR(INDEX(INVENTARIO!$C$7:$C$26,MATCH($D371,INVENTARIO!$B$7:$B$26,0)),"⚠ ID no existe"))</f>
        <v/>
      </c>
      <c r="F371" s="128" t="n"/>
      <c r="G371" s="129" t="n"/>
      <c r="H371" s="112">
        <f>IF($D371="","",IF($G371="",IFERROR(INDEX(INVENTARIO!$N$7:$N$26,MATCH($D371,INVENTARIO!$B$7:$B$26,0)),""),$G371))</f>
        <v/>
      </c>
      <c r="I371" s="114">
        <f>IF($D371="","",N($F371)*IF(ISNUMBER($H371),$H371,0))</f>
        <v/>
      </c>
      <c r="J371" s="115">
        <f>IF($D371="","",IFERROR(IF(INDEX(INVENTARIO!$O$7:$O$26,MATCH($D371,INVENTARIO!$B$7:$B$26,0))="",CFG_WALMART,INDEX(INVENTARIO!$O$7:$O$26,MATCH($D371,INVENTARIO!$B$7:$B$26,0))),CFG_WALMART))</f>
        <v/>
      </c>
      <c r="K371" s="112">
        <f>IF($D371="","",$I371*$J371)</f>
        <v/>
      </c>
      <c r="L371" s="129" t="n"/>
      <c r="M371" s="114">
        <f>IF($D371="","",$I371-$K371-N($L371))</f>
        <v/>
      </c>
      <c r="N371" s="113">
        <f>IF($D371="","",IFERROR(INDEX(INVENTARIO!$L$7:$L$26,MATCH($D371,INVENTARIO!$B$7:$B$26,0))*1,0))</f>
        <v/>
      </c>
      <c r="O371" s="112">
        <f>IF($D371="","",N($F371)*$N371)</f>
        <v/>
      </c>
      <c r="P371" s="114">
        <f>IF($D371="","",$M371-$O371)</f>
        <v/>
      </c>
      <c r="Q371" s="115">
        <f>IF($D371="","",IF($I371&gt;0,$P371/$I371,""))</f>
        <v/>
      </c>
      <c r="R371" s="127" t="n"/>
    </row>
    <row r="372">
      <c r="B372" s="130" t="n"/>
      <c r="C372" s="100" t="n"/>
      <c r="D372" s="100" t="n"/>
      <c r="E372" s="96">
        <f>IF($D372="","",IFERROR(INDEX(INVENTARIO!$C$7:$C$26,MATCH($D372,INVENTARIO!$B$7:$B$26,0)),"⚠ ID no existe"))</f>
        <v/>
      </c>
      <c r="F372" s="128" t="n"/>
      <c r="G372" s="129" t="n"/>
      <c r="H372" s="112">
        <f>IF($D372="","",IF($G372="",IFERROR(INDEX(INVENTARIO!$N$7:$N$26,MATCH($D372,INVENTARIO!$B$7:$B$26,0)),""),$G372))</f>
        <v/>
      </c>
      <c r="I372" s="114">
        <f>IF($D372="","",N($F372)*IF(ISNUMBER($H372),$H372,0))</f>
        <v/>
      </c>
      <c r="J372" s="115">
        <f>IF($D372="","",IFERROR(IF(INDEX(INVENTARIO!$O$7:$O$26,MATCH($D372,INVENTARIO!$B$7:$B$26,0))="",CFG_WALMART,INDEX(INVENTARIO!$O$7:$O$26,MATCH($D372,INVENTARIO!$B$7:$B$26,0))),CFG_WALMART))</f>
        <v/>
      </c>
      <c r="K372" s="112">
        <f>IF($D372="","",$I372*$J372)</f>
        <v/>
      </c>
      <c r="L372" s="129" t="n"/>
      <c r="M372" s="114">
        <f>IF($D372="","",$I372-$K372-N($L372))</f>
        <v/>
      </c>
      <c r="N372" s="113">
        <f>IF($D372="","",IFERROR(INDEX(INVENTARIO!$L$7:$L$26,MATCH($D372,INVENTARIO!$B$7:$B$26,0))*1,0))</f>
        <v/>
      </c>
      <c r="O372" s="112">
        <f>IF($D372="","",N($F372)*$N372)</f>
        <v/>
      </c>
      <c r="P372" s="114">
        <f>IF($D372="","",$M372-$O372)</f>
        <v/>
      </c>
      <c r="Q372" s="115">
        <f>IF($D372="","",IF($I372&gt;0,$P372/$I372,""))</f>
        <v/>
      </c>
      <c r="R372" s="127" t="n"/>
    </row>
    <row r="373">
      <c r="B373" s="130" t="n"/>
      <c r="C373" s="100" t="n"/>
      <c r="D373" s="100" t="n"/>
      <c r="E373" s="96">
        <f>IF($D373="","",IFERROR(INDEX(INVENTARIO!$C$7:$C$26,MATCH($D373,INVENTARIO!$B$7:$B$26,0)),"⚠ ID no existe"))</f>
        <v/>
      </c>
      <c r="F373" s="128" t="n"/>
      <c r="G373" s="129" t="n"/>
      <c r="H373" s="112">
        <f>IF($D373="","",IF($G373="",IFERROR(INDEX(INVENTARIO!$N$7:$N$26,MATCH($D373,INVENTARIO!$B$7:$B$26,0)),""),$G373))</f>
        <v/>
      </c>
      <c r="I373" s="114">
        <f>IF($D373="","",N($F373)*IF(ISNUMBER($H373),$H373,0))</f>
        <v/>
      </c>
      <c r="J373" s="115">
        <f>IF($D373="","",IFERROR(IF(INDEX(INVENTARIO!$O$7:$O$26,MATCH($D373,INVENTARIO!$B$7:$B$26,0))="",CFG_WALMART,INDEX(INVENTARIO!$O$7:$O$26,MATCH($D373,INVENTARIO!$B$7:$B$26,0))),CFG_WALMART))</f>
        <v/>
      </c>
      <c r="K373" s="112">
        <f>IF($D373="","",$I373*$J373)</f>
        <v/>
      </c>
      <c r="L373" s="129" t="n"/>
      <c r="M373" s="114">
        <f>IF($D373="","",$I373-$K373-N($L373))</f>
        <v/>
      </c>
      <c r="N373" s="113">
        <f>IF($D373="","",IFERROR(INDEX(INVENTARIO!$L$7:$L$26,MATCH($D373,INVENTARIO!$B$7:$B$26,0))*1,0))</f>
        <v/>
      </c>
      <c r="O373" s="112">
        <f>IF($D373="","",N($F373)*$N373)</f>
        <v/>
      </c>
      <c r="P373" s="114">
        <f>IF($D373="","",$M373-$O373)</f>
        <v/>
      </c>
      <c r="Q373" s="115">
        <f>IF($D373="","",IF($I373&gt;0,$P373/$I373,""))</f>
        <v/>
      </c>
      <c r="R373" s="127" t="n"/>
    </row>
    <row r="374">
      <c r="B374" s="130" t="n"/>
      <c r="C374" s="100" t="n"/>
      <c r="D374" s="100" t="n"/>
      <c r="E374" s="96">
        <f>IF($D374="","",IFERROR(INDEX(INVENTARIO!$C$7:$C$26,MATCH($D374,INVENTARIO!$B$7:$B$26,0)),"⚠ ID no existe"))</f>
        <v/>
      </c>
      <c r="F374" s="128" t="n"/>
      <c r="G374" s="129" t="n"/>
      <c r="H374" s="112">
        <f>IF($D374="","",IF($G374="",IFERROR(INDEX(INVENTARIO!$N$7:$N$26,MATCH($D374,INVENTARIO!$B$7:$B$26,0)),""),$G374))</f>
        <v/>
      </c>
      <c r="I374" s="114">
        <f>IF($D374="","",N($F374)*IF(ISNUMBER($H374),$H374,0))</f>
        <v/>
      </c>
      <c r="J374" s="115">
        <f>IF($D374="","",IFERROR(IF(INDEX(INVENTARIO!$O$7:$O$26,MATCH($D374,INVENTARIO!$B$7:$B$26,0))="",CFG_WALMART,INDEX(INVENTARIO!$O$7:$O$26,MATCH($D374,INVENTARIO!$B$7:$B$26,0))),CFG_WALMART))</f>
        <v/>
      </c>
      <c r="K374" s="112">
        <f>IF($D374="","",$I374*$J374)</f>
        <v/>
      </c>
      <c r="L374" s="129" t="n"/>
      <c r="M374" s="114">
        <f>IF($D374="","",$I374-$K374-N($L374))</f>
        <v/>
      </c>
      <c r="N374" s="113">
        <f>IF($D374="","",IFERROR(INDEX(INVENTARIO!$L$7:$L$26,MATCH($D374,INVENTARIO!$B$7:$B$26,0))*1,0))</f>
        <v/>
      </c>
      <c r="O374" s="112">
        <f>IF($D374="","",N($F374)*$N374)</f>
        <v/>
      </c>
      <c r="P374" s="114">
        <f>IF($D374="","",$M374-$O374)</f>
        <v/>
      </c>
      <c r="Q374" s="115">
        <f>IF($D374="","",IF($I374&gt;0,$P374/$I374,""))</f>
        <v/>
      </c>
      <c r="R374" s="127" t="n"/>
    </row>
    <row r="375">
      <c r="B375" s="130" t="n"/>
      <c r="C375" s="100" t="n"/>
      <c r="D375" s="100" t="n"/>
      <c r="E375" s="96">
        <f>IF($D375="","",IFERROR(INDEX(INVENTARIO!$C$7:$C$26,MATCH($D375,INVENTARIO!$B$7:$B$26,0)),"⚠ ID no existe"))</f>
        <v/>
      </c>
      <c r="F375" s="128" t="n"/>
      <c r="G375" s="129" t="n"/>
      <c r="H375" s="112">
        <f>IF($D375="","",IF($G375="",IFERROR(INDEX(INVENTARIO!$N$7:$N$26,MATCH($D375,INVENTARIO!$B$7:$B$26,0)),""),$G375))</f>
        <v/>
      </c>
      <c r="I375" s="114">
        <f>IF($D375="","",N($F375)*IF(ISNUMBER($H375),$H375,0))</f>
        <v/>
      </c>
      <c r="J375" s="115">
        <f>IF($D375="","",IFERROR(IF(INDEX(INVENTARIO!$O$7:$O$26,MATCH($D375,INVENTARIO!$B$7:$B$26,0))="",CFG_WALMART,INDEX(INVENTARIO!$O$7:$O$26,MATCH($D375,INVENTARIO!$B$7:$B$26,0))),CFG_WALMART))</f>
        <v/>
      </c>
      <c r="K375" s="112">
        <f>IF($D375="","",$I375*$J375)</f>
        <v/>
      </c>
      <c r="L375" s="129" t="n"/>
      <c r="M375" s="114">
        <f>IF($D375="","",$I375-$K375-N($L375))</f>
        <v/>
      </c>
      <c r="N375" s="113">
        <f>IF($D375="","",IFERROR(INDEX(INVENTARIO!$L$7:$L$26,MATCH($D375,INVENTARIO!$B$7:$B$26,0))*1,0))</f>
        <v/>
      </c>
      <c r="O375" s="112">
        <f>IF($D375="","",N($F375)*$N375)</f>
        <v/>
      </c>
      <c r="P375" s="114">
        <f>IF($D375="","",$M375-$O375)</f>
        <v/>
      </c>
      <c r="Q375" s="115">
        <f>IF($D375="","",IF($I375&gt;0,$P375/$I375,""))</f>
        <v/>
      </c>
      <c r="R375" s="127" t="n"/>
    </row>
    <row r="376">
      <c r="B376" s="130" t="n"/>
      <c r="C376" s="100" t="n"/>
      <c r="D376" s="100" t="n"/>
      <c r="E376" s="96">
        <f>IF($D376="","",IFERROR(INDEX(INVENTARIO!$C$7:$C$26,MATCH($D376,INVENTARIO!$B$7:$B$26,0)),"⚠ ID no existe"))</f>
        <v/>
      </c>
      <c r="F376" s="128" t="n"/>
      <c r="G376" s="129" t="n"/>
      <c r="H376" s="112">
        <f>IF($D376="","",IF($G376="",IFERROR(INDEX(INVENTARIO!$N$7:$N$26,MATCH($D376,INVENTARIO!$B$7:$B$26,0)),""),$G376))</f>
        <v/>
      </c>
      <c r="I376" s="114">
        <f>IF($D376="","",N($F376)*IF(ISNUMBER($H376),$H376,0))</f>
        <v/>
      </c>
      <c r="J376" s="115">
        <f>IF($D376="","",IFERROR(IF(INDEX(INVENTARIO!$O$7:$O$26,MATCH($D376,INVENTARIO!$B$7:$B$26,0))="",CFG_WALMART,INDEX(INVENTARIO!$O$7:$O$26,MATCH($D376,INVENTARIO!$B$7:$B$26,0))),CFG_WALMART))</f>
        <v/>
      </c>
      <c r="K376" s="112">
        <f>IF($D376="","",$I376*$J376)</f>
        <v/>
      </c>
      <c r="L376" s="129" t="n"/>
      <c r="M376" s="114">
        <f>IF($D376="","",$I376-$K376-N($L376))</f>
        <v/>
      </c>
      <c r="N376" s="113">
        <f>IF($D376="","",IFERROR(INDEX(INVENTARIO!$L$7:$L$26,MATCH($D376,INVENTARIO!$B$7:$B$26,0))*1,0))</f>
        <v/>
      </c>
      <c r="O376" s="112">
        <f>IF($D376="","",N($F376)*$N376)</f>
        <v/>
      </c>
      <c r="P376" s="114">
        <f>IF($D376="","",$M376-$O376)</f>
        <v/>
      </c>
      <c r="Q376" s="115">
        <f>IF($D376="","",IF($I376&gt;0,$P376/$I376,""))</f>
        <v/>
      </c>
      <c r="R376" s="127" t="n"/>
    </row>
    <row r="377">
      <c r="B377" s="130" t="n"/>
      <c r="C377" s="100" t="n"/>
      <c r="D377" s="100" t="n"/>
      <c r="E377" s="96">
        <f>IF($D377="","",IFERROR(INDEX(INVENTARIO!$C$7:$C$26,MATCH($D377,INVENTARIO!$B$7:$B$26,0)),"⚠ ID no existe"))</f>
        <v/>
      </c>
      <c r="F377" s="128" t="n"/>
      <c r="G377" s="129" t="n"/>
      <c r="H377" s="112">
        <f>IF($D377="","",IF($G377="",IFERROR(INDEX(INVENTARIO!$N$7:$N$26,MATCH($D377,INVENTARIO!$B$7:$B$26,0)),""),$G377))</f>
        <v/>
      </c>
      <c r="I377" s="114">
        <f>IF($D377="","",N($F377)*IF(ISNUMBER($H377),$H377,0))</f>
        <v/>
      </c>
      <c r="J377" s="115">
        <f>IF($D377="","",IFERROR(IF(INDEX(INVENTARIO!$O$7:$O$26,MATCH($D377,INVENTARIO!$B$7:$B$26,0))="",CFG_WALMART,INDEX(INVENTARIO!$O$7:$O$26,MATCH($D377,INVENTARIO!$B$7:$B$26,0))),CFG_WALMART))</f>
        <v/>
      </c>
      <c r="K377" s="112">
        <f>IF($D377="","",$I377*$J377)</f>
        <v/>
      </c>
      <c r="L377" s="129" t="n"/>
      <c r="M377" s="114">
        <f>IF($D377="","",$I377-$K377-N($L377))</f>
        <v/>
      </c>
      <c r="N377" s="113">
        <f>IF($D377="","",IFERROR(INDEX(INVENTARIO!$L$7:$L$26,MATCH($D377,INVENTARIO!$B$7:$B$26,0))*1,0))</f>
        <v/>
      </c>
      <c r="O377" s="112">
        <f>IF($D377="","",N($F377)*$N377)</f>
        <v/>
      </c>
      <c r="P377" s="114">
        <f>IF($D377="","",$M377-$O377)</f>
        <v/>
      </c>
      <c r="Q377" s="115">
        <f>IF($D377="","",IF($I377&gt;0,$P377/$I377,""))</f>
        <v/>
      </c>
      <c r="R377" s="127" t="n"/>
    </row>
    <row r="378">
      <c r="B378" s="130" t="n"/>
      <c r="C378" s="100" t="n"/>
      <c r="D378" s="100" t="n"/>
      <c r="E378" s="96">
        <f>IF($D378="","",IFERROR(INDEX(INVENTARIO!$C$7:$C$26,MATCH($D378,INVENTARIO!$B$7:$B$26,0)),"⚠ ID no existe"))</f>
        <v/>
      </c>
      <c r="F378" s="128" t="n"/>
      <c r="G378" s="129" t="n"/>
      <c r="H378" s="112">
        <f>IF($D378="","",IF($G378="",IFERROR(INDEX(INVENTARIO!$N$7:$N$26,MATCH($D378,INVENTARIO!$B$7:$B$26,0)),""),$G378))</f>
        <v/>
      </c>
      <c r="I378" s="114">
        <f>IF($D378="","",N($F378)*IF(ISNUMBER($H378),$H378,0))</f>
        <v/>
      </c>
      <c r="J378" s="115">
        <f>IF($D378="","",IFERROR(IF(INDEX(INVENTARIO!$O$7:$O$26,MATCH($D378,INVENTARIO!$B$7:$B$26,0))="",CFG_WALMART,INDEX(INVENTARIO!$O$7:$O$26,MATCH($D378,INVENTARIO!$B$7:$B$26,0))),CFG_WALMART))</f>
        <v/>
      </c>
      <c r="K378" s="112">
        <f>IF($D378="","",$I378*$J378)</f>
        <v/>
      </c>
      <c r="L378" s="129" t="n"/>
      <c r="M378" s="114">
        <f>IF($D378="","",$I378-$K378-N($L378))</f>
        <v/>
      </c>
      <c r="N378" s="113">
        <f>IF($D378="","",IFERROR(INDEX(INVENTARIO!$L$7:$L$26,MATCH($D378,INVENTARIO!$B$7:$B$26,0))*1,0))</f>
        <v/>
      </c>
      <c r="O378" s="112">
        <f>IF($D378="","",N($F378)*$N378)</f>
        <v/>
      </c>
      <c r="P378" s="114">
        <f>IF($D378="","",$M378-$O378)</f>
        <v/>
      </c>
      <c r="Q378" s="115">
        <f>IF($D378="","",IF($I378&gt;0,$P378/$I378,""))</f>
        <v/>
      </c>
      <c r="R378" s="127" t="n"/>
    </row>
    <row r="379">
      <c r="B379" s="130" t="n"/>
      <c r="C379" s="100" t="n"/>
      <c r="D379" s="100" t="n"/>
      <c r="E379" s="96">
        <f>IF($D379="","",IFERROR(INDEX(INVENTARIO!$C$7:$C$26,MATCH($D379,INVENTARIO!$B$7:$B$26,0)),"⚠ ID no existe"))</f>
        <v/>
      </c>
      <c r="F379" s="128" t="n"/>
      <c r="G379" s="129" t="n"/>
      <c r="H379" s="112">
        <f>IF($D379="","",IF($G379="",IFERROR(INDEX(INVENTARIO!$N$7:$N$26,MATCH($D379,INVENTARIO!$B$7:$B$26,0)),""),$G379))</f>
        <v/>
      </c>
      <c r="I379" s="114">
        <f>IF($D379="","",N($F379)*IF(ISNUMBER($H379),$H379,0))</f>
        <v/>
      </c>
      <c r="J379" s="115">
        <f>IF($D379="","",IFERROR(IF(INDEX(INVENTARIO!$O$7:$O$26,MATCH($D379,INVENTARIO!$B$7:$B$26,0))="",CFG_WALMART,INDEX(INVENTARIO!$O$7:$O$26,MATCH($D379,INVENTARIO!$B$7:$B$26,0))),CFG_WALMART))</f>
        <v/>
      </c>
      <c r="K379" s="112">
        <f>IF($D379="","",$I379*$J379)</f>
        <v/>
      </c>
      <c r="L379" s="129" t="n"/>
      <c r="M379" s="114">
        <f>IF($D379="","",$I379-$K379-N($L379))</f>
        <v/>
      </c>
      <c r="N379" s="113">
        <f>IF($D379="","",IFERROR(INDEX(INVENTARIO!$L$7:$L$26,MATCH($D379,INVENTARIO!$B$7:$B$26,0))*1,0))</f>
        <v/>
      </c>
      <c r="O379" s="112">
        <f>IF($D379="","",N($F379)*$N379)</f>
        <v/>
      </c>
      <c r="P379" s="114">
        <f>IF($D379="","",$M379-$O379)</f>
        <v/>
      </c>
      <c r="Q379" s="115">
        <f>IF($D379="","",IF($I379&gt;0,$P379/$I379,""))</f>
        <v/>
      </c>
      <c r="R379" s="127" t="n"/>
    </row>
    <row r="380">
      <c r="B380" s="130" t="n"/>
      <c r="C380" s="100" t="n"/>
      <c r="D380" s="100" t="n"/>
      <c r="E380" s="96">
        <f>IF($D380="","",IFERROR(INDEX(INVENTARIO!$C$7:$C$26,MATCH($D380,INVENTARIO!$B$7:$B$26,0)),"⚠ ID no existe"))</f>
        <v/>
      </c>
      <c r="F380" s="128" t="n"/>
      <c r="G380" s="129" t="n"/>
      <c r="H380" s="112">
        <f>IF($D380="","",IF($G380="",IFERROR(INDEX(INVENTARIO!$N$7:$N$26,MATCH($D380,INVENTARIO!$B$7:$B$26,0)),""),$G380))</f>
        <v/>
      </c>
      <c r="I380" s="114">
        <f>IF($D380="","",N($F380)*IF(ISNUMBER($H380),$H380,0))</f>
        <v/>
      </c>
      <c r="J380" s="115">
        <f>IF($D380="","",IFERROR(IF(INDEX(INVENTARIO!$O$7:$O$26,MATCH($D380,INVENTARIO!$B$7:$B$26,0))="",CFG_WALMART,INDEX(INVENTARIO!$O$7:$O$26,MATCH($D380,INVENTARIO!$B$7:$B$26,0))),CFG_WALMART))</f>
        <v/>
      </c>
      <c r="K380" s="112">
        <f>IF($D380="","",$I380*$J380)</f>
        <v/>
      </c>
      <c r="L380" s="129" t="n"/>
      <c r="M380" s="114">
        <f>IF($D380="","",$I380-$K380-N($L380))</f>
        <v/>
      </c>
      <c r="N380" s="113">
        <f>IF($D380="","",IFERROR(INDEX(INVENTARIO!$L$7:$L$26,MATCH($D380,INVENTARIO!$B$7:$B$26,0))*1,0))</f>
        <v/>
      </c>
      <c r="O380" s="112">
        <f>IF($D380="","",N($F380)*$N380)</f>
        <v/>
      </c>
      <c r="P380" s="114">
        <f>IF($D380="","",$M380-$O380)</f>
        <v/>
      </c>
      <c r="Q380" s="115">
        <f>IF($D380="","",IF($I380&gt;0,$P380/$I380,""))</f>
        <v/>
      </c>
      <c r="R380" s="127" t="n"/>
    </row>
    <row r="381">
      <c r="B381" s="130" t="n"/>
      <c r="C381" s="100" t="n"/>
      <c r="D381" s="100" t="n"/>
      <c r="E381" s="96">
        <f>IF($D381="","",IFERROR(INDEX(INVENTARIO!$C$7:$C$26,MATCH($D381,INVENTARIO!$B$7:$B$26,0)),"⚠ ID no existe"))</f>
        <v/>
      </c>
      <c r="F381" s="128" t="n"/>
      <c r="G381" s="129" t="n"/>
      <c r="H381" s="112">
        <f>IF($D381="","",IF($G381="",IFERROR(INDEX(INVENTARIO!$N$7:$N$26,MATCH($D381,INVENTARIO!$B$7:$B$26,0)),""),$G381))</f>
        <v/>
      </c>
      <c r="I381" s="114">
        <f>IF($D381="","",N($F381)*IF(ISNUMBER($H381),$H381,0))</f>
        <v/>
      </c>
      <c r="J381" s="115">
        <f>IF($D381="","",IFERROR(IF(INDEX(INVENTARIO!$O$7:$O$26,MATCH($D381,INVENTARIO!$B$7:$B$26,0))="",CFG_WALMART,INDEX(INVENTARIO!$O$7:$O$26,MATCH($D381,INVENTARIO!$B$7:$B$26,0))),CFG_WALMART))</f>
        <v/>
      </c>
      <c r="K381" s="112">
        <f>IF($D381="","",$I381*$J381)</f>
        <v/>
      </c>
      <c r="L381" s="129" t="n"/>
      <c r="M381" s="114">
        <f>IF($D381="","",$I381-$K381-N($L381))</f>
        <v/>
      </c>
      <c r="N381" s="113">
        <f>IF($D381="","",IFERROR(INDEX(INVENTARIO!$L$7:$L$26,MATCH($D381,INVENTARIO!$B$7:$B$26,0))*1,0))</f>
        <v/>
      </c>
      <c r="O381" s="112">
        <f>IF($D381="","",N($F381)*$N381)</f>
        <v/>
      </c>
      <c r="P381" s="114">
        <f>IF($D381="","",$M381-$O381)</f>
        <v/>
      </c>
      <c r="Q381" s="115">
        <f>IF($D381="","",IF($I381&gt;0,$P381/$I381,""))</f>
        <v/>
      </c>
      <c r="R381" s="127" t="n"/>
    </row>
    <row r="382">
      <c r="B382" s="130" t="n"/>
      <c r="C382" s="100" t="n"/>
      <c r="D382" s="100" t="n"/>
      <c r="E382" s="96">
        <f>IF($D382="","",IFERROR(INDEX(INVENTARIO!$C$7:$C$26,MATCH($D382,INVENTARIO!$B$7:$B$26,0)),"⚠ ID no existe"))</f>
        <v/>
      </c>
      <c r="F382" s="128" t="n"/>
      <c r="G382" s="129" t="n"/>
      <c r="H382" s="112">
        <f>IF($D382="","",IF($G382="",IFERROR(INDEX(INVENTARIO!$N$7:$N$26,MATCH($D382,INVENTARIO!$B$7:$B$26,0)),""),$G382))</f>
        <v/>
      </c>
      <c r="I382" s="114">
        <f>IF($D382="","",N($F382)*IF(ISNUMBER($H382),$H382,0))</f>
        <v/>
      </c>
      <c r="J382" s="115">
        <f>IF($D382="","",IFERROR(IF(INDEX(INVENTARIO!$O$7:$O$26,MATCH($D382,INVENTARIO!$B$7:$B$26,0))="",CFG_WALMART,INDEX(INVENTARIO!$O$7:$O$26,MATCH($D382,INVENTARIO!$B$7:$B$26,0))),CFG_WALMART))</f>
        <v/>
      </c>
      <c r="K382" s="112">
        <f>IF($D382="","",$I382*$J382)</f>
        <v/>
      </c>
      <c r="L382" s="129" t="n"/>
      <c r="M382" s="114">
        <f>IF($D382="","",$I382-$K382-N($L382))</f>
        <v/>
      </c>
      <c r="N382" s="113">
        <f>IF($D382="","",IFERROR(INDEX(INVENTARIO!$L$7:$L$26,MATCH($D382,INVENTARIO!$B$7:$B$26,0))*1,0))</f>
        <v/>
      </c>
      <c r="O382" s="112">
        <f>IF($D382="","",N($F382)*$N382)</f>
        <v/>
      </c>
      <c r="P382" s="114">
        <f>IF($D382="","",$M382-$O382)</f>
        <v/>
      </c>
      <c r="Q382" s="115">
        <f>IF($D382="","",IF($I382&gt;0,$P382/$I382,""))</f>
        <v/>
      </c>
      <c r="R382" s="127" t="n"/>
    </row>
    <row r="383">
      <c r="B383" s="130" t="n"/>
      <c r="C383" s="100" t="n"/>
      <c r="D383" s="100" t="n"/>
      <c r="E383" s="96">
        <f>IF($D383="","",IFERROR(INDEX(INVENTARIO!$C$7:$C$26,MATCH($D383,INVENTARIO!$B$7:$B$26,0)),"⚠ ID no existe"))</f>
        <v/>
      </c>
      <c r="F383" s="128" t="n"/>
      <c r="G383" s="129" t="n"/>
      <c r="H383" s="112">
        <f>IF($D383="","",IF($G383="",IFERROR(INDEX(INVENTARIO!$N$7:$N$26,MATCH($D383,INVENTARIO!$B$7:$B$26,0)),""),$G383))</f>
        <v/>
      </c>
      <c r="I383" s="114">
        <f>IF($D383="","",N($F383)*IF(ISNUMBER($H383),$H383,0))</f>
        <v/>
      </c>
      <c r="J383" s="115">
        <f>IF($D383="","",IFERROR(IF(INDEX(INVENTARIO!$O$7:$O$26,MATCH($D383,INVENTARIO!$B$7:$B$26,0))="",CFG_WALMART,INDEX(INVENTARIO!$O$7:$O$26,MATCH($D383,INVENTARIO!$B$7:$B$26,0))),CFG_WALMART))</f>
        <v/>
      </c>
      <c r="K383" s="112">
        <f>IF($D383="","",$I383*$J383)</f>
        <v/>
      </c>
      <c r="L383" s="129" t="n"/>
      <c r="M383" s="114">
        <f>IF($D383="","",$I383-$K383-N($L383))</f>
        <v/>
      </c>
      <c r="N383" s="113">
        <f>IF($D383="","",IFERROR(INDEX(INVENTARIO!$L$7:$L$26,MATCH($D383,INVENTARIO!$B$7:$B$26,0))*1,0))</f>
        <v/>
      </c>
      <c r="O383" s="112">
        <f>IF($D383="","",N($F383)*$N383)</f>
        <v/>
      </c>
      <c r="P383" s="114">
        <f>IF($D383="","",$M383-$O383)</f>
        <v/>
      </c>
      <c r="Q383" s="115">
        <f>IF($D383="","",IF($I383&gt;0,$P383/$I383,""))</f>
        <v/>
      </c>
      <c r="R383" s="127" t="n"/>
    </row>
    <row r="384">
      <c r="B384" s="130" t="n"/>
      <c r="C384" s="100" t="n"/>
      <c r="D384" s="100" t="n"/>
      <c r="E384" s="96">
        <f>IF($D384="","",IFERROR(INDEX(INVENTARIO!$C$7:$C$26,MATCH($D384,INVENTARIO!$B$7:$B$26,0)),"⚠ ID no existe"))</f>
        <v/>
      </c>
      <c r="F384" s="128" t="n"/>
      <c r="G384" s="129" t="n"/>
      <c r="H384" s="112">
        <f>IF($D384="","",IF($G384="",IFERROR(INDEX(INVENTARIO!$N$7:$N$26,MATCH($D384,INVENTARIO!$B$7:$B$26,0)),""),$G384))</f>
        <v/>
      </c>
      <c r="I384" s="114">
        <f>IF($D384="","",N($F384)*IF(ISNUMBER($H384),$H384,0))</f>
        <v/>
      </c>
      <c r="J384" s="115">
        <f>IF($D384="","",IFERROR(IF(INDEX(INVENTARIO!$O$7:$O$26,MATCH($D384,INVENTARIO!$B$7:$B$26,0))="",CFG_WALMART,INDEX(INVENTARIO!$O$7:$O$26,MATCH($D384,INVENTARIO!$B$7:$B$26,0))),CFG_WALMART))</f>
        <v/>
      </c>
      <c r="K384" s="112">
        <f>IF($D384="","",$I384*$J384)</f>
        <v/>
      </c>
      <c r="L384" s="129" t="n"/>
      <c r="M384" s="114">
        <f>IF($D384="","",$I384-$K384-N($L384))</f>
        <v/>
      </c>
      <c r="N384" s="113">
        <f>IF($D384="","",IFERROR(INDEX(INVENTARIO!$L$7:$L$26,MATCH($D384,INVENTARIO!$B$7:$B$26,0))*1,0))</f>
        <v/>
      </c>
      <c r="O384" s="112">
        <f>IF($D384="","",N($F384)*$N384)</f>
        <v/>
      </c>
      <c r="P384" s="114">
        <f>IF($D384="","",$M384-$O384)</f>
        <v/>
      </c>
      <c r="Q384" s="115">
        <f>IF($D384="","",IF($I384&gt;0,$P384/$I384,""))</f>
        <v/>
      </c>
      <c r="R384" s="127" t="n"/>
    </row>
    <row r="385">
      <c r="B385" s="130" t="n"/>
      <c r="C385" s="100" t="n"/>
      <c r="D385" s="100" t="n"/>
      <c r="E385" s="96">
        <f>IF($D385="","",IFERROR(INDEX(INVENTARIO!$C$7:$C$26,MATCH($D385,INVENTARIO!$B$7:$B$26,0)),"⚠ ID no existe"))</f>
        <v/>
      </c>
      <c r="F385" s="128" t="n"/>
      <c r="G385" s="129" t="n"/>
      <c r="H385" s="112">
        <f>IF($D385="","",IF($G385="",IFERROR(INDEX(INVENTARIO!$N$7:$N$26,MATCH($D385,INVENTARIO!$B$7:$B$26,0)),""),$G385))</f>
        <v/>
      </c>
      <c r="I385" s="114">
        <f>IF($D385="","",N($F385)*IF(ISNUMBER($H385),$H385,0))</f>
        <v/>
      </c>
      <c r="J385" s="115">
        <f>IF($D385="","",IFERROR(IF(INDEX(INVENTARIO!$O$7:$O$26,MATCH($D385,INVENTARIO!$B$7:$B$26,0))="",CFG_WALMART,INDEX(INVENTARIO!$O$7:$O$26,MATCH($D385,INVENTARIO!$B$7:$B$26,0))),CFG_WALMART))</f>
        <v/>
      </c>
      <c r="K385" s="112">
        <f>IF($D385="","",$I385*$J385)</f>
        <v/>
      </c>
      <c r="L385" s="129" t="n"/>
      <c r="M385" s="114">
        <f>IF($D385="","",$I385-$K385-N($L385))</f>
        <v/>
      </c>
      <c r="N385" s="113">
        <f>IF($D385="","",IFERROR(INDEX(INVENTARIO!$L$7:$L$26,MATCH($D385,INVENTARIO!$B$7:$B$26,0))*1,0))</f>
        <v/>
      </c>
      <c r="O385" s="112">
        <f>IF($D385="","",N($F385)*$N385)</f>
        <v/>
      </c>
      <c r="P385" s="114">
        <f>IF($D385="","",$M385-$O385)</f>
        <v/>
      </c>
      <c r="Q385" s="115">
        <f>IF($D385="","",IF($I385&gt;0,$P385/$I385,""))</f>
        <v/>
      </c>
      <c r="R385" s="127" t="n"/>
    </row>
    <row r="386">
      <c r="B386" s="130" t="n"/>
      <c r="C386" s="100" t="n"/>
      <c r="D386" s="100" t="n"/>
      <c r="E386" s="96">
        <f>IF($D386="","",IFERROR(INDEX(INVENTARIO!$C$7:$C$26,MATCH($D386,INVENTARIO!$B$7:$B$26,0)),"⚠ ID no existe"))</f>
        <v/>
      </c>
      <c r="F386" s="128" t="n"/>
      <c r="G386" s="129" t="n"/>
      <c r="H386" s="112">
        <f>IF($D386="","",IF($G386="",IFERROR(INDEX(INVENTARIO!$N$7:$N$26,MATCH($D386,INVENTARIO!$B$7:$B$26,0)),""),$G386))</f>
        <v/>
      </c>
      <c r="I386" s="114">
        <f>IF($D386="","",N($F386)*IF(ISNUMBER($H386),$H386,0))</f>
        <v/>
      </c>
      <c r="J386" s="115">
        <f>IF($D386="","",IFERROR(IF(INDEX(INVENTARIO!$O$7:$O$26,MATCH($D386,INVENTARIO!$B$7:$B$26,0))="",CFG_WALMART,INDEX(INVENTARIO!$O$7:$O$26,MATCH($D386,INVENTARIO!$B$7:$B$26,0))),CFG_WALMART))</f>
        <v/>
      </c>
      <c r="K386" s="112">
        <f>IF($D386="","",$I386*$J386)</f>
        <v/>
      </c>
      <c r="L386" s="129" t="n"/>
      <c r="M386" s="114">
        <f>IF($D386="","",$I386-$K386-N($L386))</f>
        <v/>
      </c>
      <c r="N386" s="113">
        <f>IF($D386="","",IFERROR(INDEX(INVENTARIO!$L$7:$L$26,MATCH($D386,INVENTARIO!$B$7:$B$26,0))*1,0))</f>
        <v/>
      </c>
      <c r="O386" s="112">
        <f>IF($D386="","",N($F386)*$N386)</f>
        <v/>
      </c>
      <c r="P386" s="114">
        <f>IF($D386="","",$M386-$O386)</f>
        <v/>
      </c>
      <c r="Q386" s="115">
        <f>IF($D386="","",IF($I386&gt;0,$P386/$I386,""))</f>
        <v/>
      </c>
      <c r="R386" s="127" t="n"/>
    </row>
    <row r="387">
      <c r="B387" s="130" t="n"/>
      <c r="C387" s="100" t="n"/>
      <c r="D387" s="100" t="n"/>
      <c r="E387" s="96">
        <f>IF($D387="","",IFERROR(INDEX(INVENTARIO!$C$7:$C$26,MATCH($D387,INVENTARIO!$B$7:$B$26,0)),"⚠ ID no existe"))</f>
        <v/>
      </c>
      <c r="F387" s="128" t="n"/>
      <c r="G387" s="129" t="n"/>
      <c r="H387" s="112">
        <f>IF($D387="","",IF($G387="",IFERROR(INDEX(INVENTARIO!$N$7:$N$26,MATCH($D387,INVENTARIO!$B$7:$B$26,0)),""),$G387))</f>
        <v/>
      </c>
      <c r="I387" s="114">
        <f>IF($D387="","",N($F387)*IF(ISNUMBER($H387),$H387,0))</f>
        <v/>
      </c>
      <c r="J387" s="115">
        <f>IF($D387="","",IFERROR(IF(INDEX(INVENTARIO!$O$7:$O$26,MATCH($D387,INVENTARIO!$B$7:$B$26,0))="",CFG_WALMART,INDEX(INVENTARIO!$O$7:$O$26,MATCH($D387,INVENTARIO!$B$7:$B$26,0))),CFG_WALMART))</f>
        <v/>
      </c>
      <c r="K387" s="112">
        <f>IF($D387="","",$I387*$J387)</f>
        <v/>
      </c>
      <c r="L387" s="129" t="n"/>
      <c r="M387" s="114">
        <f>IF($D387="","",$I387-$K387-N($L387))</f>
        <v/>
      </c>
      <c r="N387" s="113">
        <f>IF($D387="","",IFERROR(INDEX(INVENTARIO!$L$7:$L$26,MATCH($D387,INVENTARIO!$B$7:$B$26,0))*1,0))</f>
        <v/>
      </c>
      <c r="O387" s="112">
        <f>IF($D387="","",N($F387)*$N387)</f>
        <v/>
      </c>
      <c r="P387" s="114">
        <f>IF($D387="","",$M387-$O387)</f>
        <v/>
      </c>
      <c r="Q387" s="115">
        <f>IF($D387="","",IF($I387&gt;0,$P387/$I387,""))</f>
        <v/>
      </c>
      <c r="R387" s="127" t="n"/>
    </row>
    <row r="388">
      <c r="B388" s="130" t="n"/>
      <c r="C388" s="100" t="n"/>
      <c r="D388" s="100" t="n"/>
      <c r="E388" s="96">
        <f>IF($D388="","",IFERROR(INDEX(INVENTARIO!$C$7:$C$26,MATCH($D388,INVENTARIO!$B$7:$B$26,0)),"⚠ ID no existe"))</f>
        <v/>
      </c>
      <c r="F388" s="128" t="n"/>
      <c r="G388" s="129" t="n"/>
      <c r="H388" s="112">
        <f>IF($D388="","",IF($G388="",IFERROR(INDEX(INVENTARIO!$N$7:$N$26,MATCH($D388,INVENTARIO!$B$7:$B$26,0)),""),$G388))</f>
        <v/>
      </c>
      <c r="I388" s="114">
        <f>IF($D388="","",N($F388)*IF(ISNUMBER($H388),$H388,0))</f>
        <v/>
      </c>
      <c r="J388" s="115">
        <f>IF($D388="","",IFERROR(IF(INDEX(INVENTARIO!$O$7:$O$26,MATCH($D388,INVENTARIO!$B$7:$B$26,0))="",CFG_WALMART,INDEX(INVENTARIO!$O$7:$O$26,MATCH($D388,INVENTARIO!$B$7:$B$26,0))),CFG_WALMART))</f>
        <v/>
      </c>
      <c r="K388" s="112">
        <f>IF($D388="","",$I388*$J388)</f>
        <v/>
      </c>
      <c r="L388" s="129" t="n"/>
      <c r="M388" s="114">
        <f>IF($D388="","",$I388-$K388-N($L388))</f>
        <v/>
      </c>
      <c r="N388" s="113">
        <f>IF($D388="","",IFERROR(INDEX(INVENTARIO!$L$7:$L$26,MATCH($D388,INVENTARIO!$B$7:$B$26,0))*1,0))</f>
        <v/>
      </c>
      <c r="O388" s="112">
        <f>IF($D388="","",N($F388)*$N388)</f>
        <v/>
      </c>
      <c r="P388" s="114">
        <f>IF($D388="","",$M388-$O388)</f>
        <v/>
      </c>
      <c r="Q388" s="115">
        <f>IF($D388="","",IF($I388&gt;0,$P388/$I388,""))</f>
        <v/>
      </c>
      <c r="R388" s="127" t="n"/>
    </row>
    <row r="389">
      <c r="B389" s="130" t="n"/>
      <c r="C389" s="100" t="n"/>
      <c r="D389" s="100" t="n"/>
      <c r="E389" s="96">
        <f>IF($D389="","",IFERROR(INDEX(INVENTARIO!$C$7:$C$26,MATCH($D389,INVENTARIO!$B$7:$B$26,0)),"⚠ ID no existe"))</f>
        <v/>
      </c>
      <c r="F389" s="128" t="n"/>
      <c r="G389" s="129" t="n"/>
      <c r="H389" s="112">
        <f>IF($D389="","",IF($G389="",IFERROR(INDEX(INVENTARIO!$N$7:$N$26,MATCH($D389,INVENTARIO!$B$7:$B$26,0)),""),$G389))</f>
        <v/>
      </c>
      <c r="I389" s="114">
        <f>IF($D389="","",N($F389)*IF(ISNUMBER($H389),$H389,0))</f>
        <v/>
      </c>
      <c r="J389" s="115">
        <f>IF($D389="","",IFERROR(IF(INDEX(INVENTARIO!$O$7:$O$26,MATCH($D389,INVENTARIO!$B$7:$B$26,0))="",CFG_WALMART,INDEX(INVENTARIO!$O$7:$O$26,MATCH($D389,INVENTARIO!$B$7:$B$26,0))),CFG_WALMART))</f>
        <v/>
      </c>
      <c r="K389" s="112">
        <f>IF($D389="","",$I389*$J389)</f>
        <v/>
      </c>
      <c r="L389" s="129" t="n"/>
      <c r="M389" s="114">
        <f>IF($D389="","",$I389-$K389-N($L389))</f>
        <v/>
      </c>
      <c r="N389" s="113">
        <f>IF($D389="","",IFERROR(INDEX(INVENTARIO!$L$7:$L$26,MATCH($D389,INVENTARIO!$B$7:$B$26,0))*1,0))</f>
        <v/>
      </c>
      <c r="O389" s="112">
        <f>IF($D389="","",N($F389)*$N389)</f>
        <v/>
      </c>
      <c r="P389" s="114">
        <f>IF($D389="","",$M389-$O389)</f>
        <v/>
      </c>
      <c r="Q389" s="115">
        <f>IF($D389="","",IF($I389&gt;0,$P389/$I389,""))</f>
        <v/>
      </c>
      <c r="R389" s="127" t="n"/>
    </row>
    <row r="390">
      <c r="B390" s="130" t="n"/>
      <c r="C390" s="100" t="n"/>
      <c r="D390" s="100" t="n"/>
      <c r="E390" s="96">
        <f>IF($D390="","",IFERROR(INDEX(INVENTARIO!$C$7:$C$26,MATCH($D390,INVENTARIO!$B$7:$B$26,0)),"⚠ ID no existe"))</f>
        <v/>
      </c>
      <c r="F390" s="128" t="n"/>
      <c r="G390" s="129" t="n"/>
      <c r="H390" s="112">
        <f>IF($D390="","",IF($G390="",IFERROR(INDEX(INVENTARIO!$N$7:$N$26,MATCH($D390,INVENTARIO!$B$7:$B$26,0)),""),$G390))</f>
        <v/>
      </c>
      <c r="I390" s="114">
        <f>IF($D390="","",N($F390)*IF(ISNUMBER($H390),$H390,0))</f>
        <v/>
      </c>
      <c r="J390" s="115">
        <f>IF($D390="","",IFERROR(IF(INDEX(INVENTARIO!$O$7:$O$26,MATCH($D390,INVENTARIO!$B$7:$B$26,0))="",CFG_WALMART,INDEX(INVENTARIO!$O$7:$O$26,MATCH($D390,INVENTARIO!$B$7:$B$26,0))),CFG_WALMART))</f>
        <v/>
      </c>
      <c r="K390" s="112">
        <f>IF($D390="","",$I390*$J390)</f>
        <v/>
      </c>
      <c r="L390" s="129" t="n"/>
      <c r="M390" s="114">
        <f>IF($D390="","",$I390-$K390-N($L390))</f>
        <v/>
      </c>
      <c r="N390" s="113">
        <f>IF($D390="","",IFERROR(INDEX(INVENTARIO!$L$7:$L$26,MATCH($D390,INVENTARIO!$B$7:$B$26,0))*1,0))</f>
        <v/>
      </c>
      <c r="O390" s="112">
        <f>IF($D390="","",N($F390)*$N390)</f>
        <v/>
      </c>
      <c r="P390" s="114">
        <f>IF($D390="","",$M390-$O390)</f>
        <v/>
      </c>
      <c r="Q390" s="115">
        <f>IF($D390="","",IF($I390&gt;0,$P390/$I390,""))</f>
        <v/>
      </c>
      <c r="R390" s="127" t="n"/>
    </row>
    <row r="391">
      <c r="B391" s="130" t="n"/>
      <c r="C391" s="100" t="n"/>
      <c r="D391" s="100" t="n"/>
      <c r="E391" s="96">
        <f>IF($D391="","",IFERROR(INDEX(INVENTARIO!$C$7:$C$26,MATCH($D391,INVENTARIO!$B$7:$B$26,0)),"⚠ ID no existe"))</f>
        <v/>
      </c>
      <c r="F391" s="128" t="n"/>
      <c r="G391" s="129" t="n"/>
      <c r="H391" s="112">
        <f>IF($D391="","",IF($G391="",IFERROR(INDEX(INVENTARIO!$N$7:$N$26,MATCH($D391,INVENTARIO!$B$7:$B$26,0)),""),$G391))</f>
        <v/>
      </c>
      <c r="I391" s="114">
        <f>IF($D391="","",N($F391)*IF(ISNUMBER($H391),$H391,0))</f>
        <v/>
      </c>
      <c r="J391" s="115">
        <f>IF($D391="","",IFERROR(IF(INDEX(INVENTARIO!$O$7:$O$26,MATCH($D391,INVENTARIO!$B$7:$B$26,0))="",CFG_WALMART,INDEX(INVENTARIO!$O$7:$O$26,MATCH($D391,INVENTARIO!$B$7:$B$26,0))),CFG_WALMART))</f>
        <v/>
      </c>
      <c r="K391" s="112">
        <f>IF($D391="","",$I391*$J391)</f>
        <v/>
      </c>
      <c r="L391" s="129" t="n"/>
      <c r="M391" s="114">
        <f>IF($D391="","",$I391-$K391-N($L391))</f>
        <v/>
      </c>
      <c r="N391" s="113">
        <f>IF($D391="","",IFERROR(INDEX(INVENTARIO!$L$7:$L$26,MATCH($D391,INVENTARIO!$B$7:$B$26,0))*1,0))</f>
        <v/>
      </c>
      <c r="O391" s="112">
        <f>IF($D391="","",N($F391)*$N391)</f>
        <v/>
      </c>
      <c r="P391" s="114">
        <f>IF($D391="","",$M391-$O391)</f>
        <v/>
      </c>
      <c r="Q391" s="115">
        <f>IF($D391="","",IF($I391&gt;0,$P391/$I391,""))</f>
        <v/>
      </c>
      <c r="R391" s="127" t="n"/>
    </row>
    <row r="392">
      <c r="B392" s="130" t="n"/>
      <c r="C392" s="100" t="n"/>
      <c r="D392" s="100" t="n"/>
      <c r="E392" s="96">
        <f>IF($D392="","",IFERROR(INDEX(INVENTARIO!$C$7:$C$26,MATCH($D392,INVENTARIO!$B$7:$B$26,0)),"⚠ ID no existe"))</f>
        <v/>
      </c>
      <c r="F392" s="128" t="n"/>
      <c r="G392" s="129" t="n"/>
      <c r="H392" s="112">
        <f>IF($D392="","",IF($G392="",IFERROR(INDEX(INVENTARIO!$N$7:$N$26,MATCH($D392,INVENTARIO!$B$7:$B$26,0)),""),$G392))</f>
        <v/>
      </c>
      <c r="I392" s="114">
        <f>IF($D392="","",N($F392)*IF(ISNUMBER($H392),$H392,0))</f>
        <v/>
      </c>
      <c r="J392" s="115">
        <f>IF($D392="","",IFERROR(IF(INDEX(INVENTARIO!$O$7:$O$26,MATCH($D392,INVENTARIO!$B$7:$B$26,0))="",CFG_WALMART,INDEX(INVENTARIO!$O$7:$O$26,MATCH($D392,INVENTARIO!$B$7:$B$26,0))),CFG_WALMART))</f>
        <v/>
      </c>
      <c r="K392" s="112">
        <f>IF($D392="","",$I392*$J392)</f>
        <v/>
      </c>
      <c r="L392" s="129" t="n"/>
      <c r="M392" s="114">
        <f>IF($D392="","",$I392-$K392-N($L392))</f>
        <v/>
      </c>
      <c r="N392" s="113">
        <f>IF($D392="","",IFERROR(INDEX(INVENTARIO!$L$7:$L$26,MATCH($D392,INVENTARIO!$B$7:$B$26,0))*1,0))</f>
        <v/>
      </c>
      <c r="O392" s="112">
        <f>IF($D392="","",N($F392)*$N392)</f>
        <v/>
      </c>
      <c r="P392" s="114">
        <f>IF($D392="","",$M392-$O392)</f>
        <v/>
      </c>
      <c r="Q392" s="115">
        <f>IF($D392="","",IF($I392&gt;0,$P392/$I392,""))</f>
        <v/>
      </c>
      <c r="R392" s="127" t="n"/>
    </row>
    <row r="393">
      <c r="B393" s="130" t="n"/>
      <c r="C393" s="100" t="n"/>
      <c r="D393" s="100" t="n"/>
      <c r="E393" s="96">
        <f>IF($D393="","",IFERROR(INDEX(INVENTARIO!$C$7:$C$26,MATCH($D393,INVENTARIO!$B$7:$B$26,0)),"⚠ ID no existe"))</f>
        <v/>
      </c>
      <c r="F393" s="128" t="n"/>
      <c r="G393" s="129" t="n"/>
      <c r="H393" s="112">
        <f>IF($D393="","",IF($G393="",IFERROR(INDEX(INVENTARIO!$N$7:$N$26,MATCH($D393,INVENTARIO!$B$7:$B$26,0)),""),$G393))</f>
        <v/>
      </c>
      <c r="I393" s="114">
        <f>IF($D393="","",N($F393)*IF(ISNUMBER($H393),$H393,0))</f>
        <v/>
      </c>
      <c r="J393" s="115">
        <f>IF($D393="","",IFERROR(IF(INDEX(INVENTARIO!$O$7:$O$26,MATCH($D393,INVENTARIO!$B$7:$B$26,0))="",CFG_WALMART,INDEX(INVENTARIO!$O$7:$O$26,MATCH($D393,INVENTARIO!$B$7:$B$26,0))),CFG_WALMART))</f>
        <v/>
      </c>
      <c r="K393" s="112">
        <f>IF($D393="","",$I393*$J393)</f>
        <v/>
      </c>
      <c r="L393" s="129" t="n"/>
      <c r="M393" s="114">
        <f>IF($D393="","",$I393-$K393-N($L393))</f>
        <v/>
      </c>
      <c r="N393" s="113">
        <f>IF($D393="","",IFERROR(INDEX(INVENTARIO!$L$7:$L$26,MATCH($D393,INVENTARIO!$B$7:$B$26,0))*1,0))</f>
        <v/>
      </c>
      <c r="O393" s="112">
        <f>IF($D393="","",N($F393)*$N393)</f>
        <v/>
      </c>
      <c r="P393" s="114">
        <f>IF($D393="","",$M393-$O393)</f>
        <v/>
      </c>
      <c r="Q393" s="115">
        <f>IF($D393="","",IF($I393&gt;0,$P393/$I393,""))</f>
        <v/>
      </c>
      <c r="R393" s="127" t="n"/>
    </row>
    <row r="394">
      <c r="B394" s="130" t="n"/>
      <c r="C394" s="100" t="n"/>
      <c r="D394" s="100" t="n"/>
      <c r="E394" s="96">
        <f>IF($D394="","",IFERROR(INDEX(INVENTARIO!$C$7:$C$26,MATCH($D394,INVENTARIO!$B$7:$B$26,0)),"⚠ ID no existe"))</f>
        <v/>
      </c>
      <c r="F394" s="128" t="n"/>
      <c r="G394" s="129" t="n"/>
      <c r="H394" s="112">
        <f>IF($D394="","",IF($G394="",IFERROR(INDEX(INVENTARIO!$N$7:$N$26,MATCH($D394,INVENTARIO!$B$7:$B$26,0)),""),$G394))</f>
        <v/>
      </c>
      <c r="I394" s="114">
        <f>IF($D394="","",N($F394)*IF(ISNUMBER($H394),$H394,0))</f>
        <v/>
      </c>
      <c r="J394" s="115">
        <f>IF($D394="","",IFERROR(IF(INDEX(INVENTARIO!$O$7:$O$26,MATCH($D394,INVENTARIO!$B$7:$B$26,0))="",CFG_WALMART,INDEX(INVENTARIO!$O$7:$O$26,MATCH($D394,INVENTARIO!$B$7:$B$26,0))),CFG_WALMART))</f>
        <v/>
      </c>
      <c r="K394" s="112">
        <f>IF($D394="","",$I394*$J394)</f>
        <v/>
      </c>
      <c r="L394" s="129" t="n"/>
      <c r="M394" s="114">
        <f>IF($D394="","",$I394-$K394-N($L394))</f>
        <v/>
      </c>
      <c r="N394" s="113">
        <f>IF($D394="","",IFERROR(INDEX(INVENTARIO!$L$7:$L$26,MATCH($D394,INVENTARIO!$B$7:$B$26,0))*1,0))</f>
        <v/>
      </c>
      <c r="O394" s="112">
        <f>IF($D394="","",N($F394)*$N394)</f>
        <v/>
      </c>
      <c r="P394" s="114">
        <f>IF($D394="","",$M394-$O394)</f>
        <v/>
      </c>
      <c r="Q394" s="115">
        <f>IF($D394="","",IF($I394&gt;0,$P394/$I394,""))</f>
        <v/>
      </c>
      <c r="R394" s="127" t="n"/>
    </row>
    <row r="395">
      <c r="B395" s="130" t="n"/>
      <c r="C395" s="100" t="n"/>
      <c r="D395" s="100" t="n"/>
      <c r="E395" s="96">
        <f>IF($D395="","",IFERROR(INDEX(INVENTARIO!$C$7:$C$26,MATCH($D395,INVENTARIO!$B$7:$B$26,0)),"⚠ ID no existe"))</f>
        <v/>
      </c>
      <c r="F395" s="128" t="n"/>
      <c r="G395" s="129" t="n"/>
      <c r="H395" s="112">
        <f>IF($D395="","",IF($G395="",IFERROR(INDEX(INVENTARIO!$N$7:$N$26,MATCH($D395,INVENTARIO!$B$7:$B$26,0)),""),$G395))</f>
        <v/>
      </c>
      <c r="I395" s="114">
        <f>IF($D395="","",N($F395)*IF(ISNUMBER($H395),$H395,0))</f>
        <v/>
      </c>
      <c r="J395" s="115">
        <f>IF($D395="","",IFERROR(IF(INDEX(INVENTARIO!$O$7:$O$26,MATCH($D395,INVENTARIO!$B$7:$B$26,0))="",CFG_WALMART,INDEX(INVENTARIO!$O$7:$O$26,MATCH($D395,INVENTARIO!$B$7:$B$26,0))),CFG_WALMART))</f>
        <v/>
      </c>
      <c r="K395" s="112">
        <f>IF($D395="","",$I395*$J395)</f>
        <v/>
      </c>
      <c r="L395" s="129" t="n"/>
      <c r="M395" s="114">
        <f>IF($D395="","",$I395-$K395-N($L395))</f>
        <v/>
      </c>
      <c r="N395" s="113">
        <f>IF($D395="","",IFERROR(INDEX(INVENTARIO!$L$7:$L$26,MATCH($D395,INVENTARIO!$B$7:$B$26,0))*1,0))</f>
        <v/>
      </c>
      <c r="O395" s="112">
        <f>IF($D395="","",N($F395)*$N395)</f>
        <v/>
      </c>
      <c r="P395" s="114">
        <f>IF($D395="","",$M395-$O395)</f>
        <v/>
      </c>
      <c r="Q395" s="115">
        <f>IF($D395="","",IF($I395&gt;0,$P395/$I395,""))</f>
        <v/>
      </c>
      <c r="R395" s="127" t="n"/>
    </row>
    <row r="396">
      <c r="B396" s="130" t="n"/>
      <c r="C396" s="100" t="n"/>
      <c r="D396" s="100" t="n"/>
      <c r="E396" s="96">
        <f>IF($D396="","",IFERROR(INDEX(INVENTARIO!$C$7:$C$26,MATCH($D396,INVENTARIO!$B$7:$B$26,0)),"⚠ ID no existe"))</f>
        <v/>
      </c>
      <c r="F396" s="128" t="n"/>
      <c r="G396" s="129" t="n"/>
      <c r="H396" s="112">
        <f>IF($D396="","",IF($G396="",IFERROR(INDEX(INVENTARIO!$N$7:$N$26,MATCH($D396,INVENTARIO!$B$7:$B$26,0)),""),$G396))</f>
        <v/>
      </c>
      <c r="I396" s="114">
        <f>IF($D396="","",N($F396)*IF(ISNUMBER($H396),$H396,0))</f>
        <v/>
      </c>
      <c r="J396" s="115">
        <f>IF($D396="","",IFERROR(IF(INDEX(INVENTARIO!$O$7:$O$26,MATCH($D396,INVENTARIO!$B$7:$B$26,0))="",CFG_WALMART,INDEX(INVENTARIO!$O$7:$O$26,MATCH($D396,INVENTARIO!$B$7:$B$26,0))),CFG_WALMART))</f>
        <v/>
      </c>
      <c r="K396" s="112">
        <f>IF($D396="","",$I396*$J396)</f>
        <v/>
      </c>
      <c r="L396" s="129" t="n"/>
      <c r="M396" s="114">
        <f>IF($D396="","",$I396-$K396-N($L396))</f>
        <v/>
      </c>
      <c r="N396" s="113">
        <f>IF($D396="","",IFERROR(INDEX(INVENTARIO!$L$7:$L$26,MATCH($D396,INVENTARIO!$B$7:$B$26,0))*1,0))</f>
        <v/>
      </c>
      <c r="O396" s="112">
        <f>IF($D396="","",N($F396)*$N396)</f>
        <v/>
      </c>
      <c r="P396" s="114">
        <f>IF($D396="","",$M396-$O396)</f>
        <v/>
      </c>
      <c r="Q396" s="115">
        <f>IF($D396="","",IF($I396&gt;0,$P396/$I396,""))</f>
        <v/>
      </c>
      <c r="R396" s="127" t="n"/>
    </row>
    <row r="397">
      <c r="B397" s="130" t="n"/>
      <c r="C397" s="100" t="n"/>
      <c r="D397" s="100" t="n"/>
      <c r="E397" s="96">
        <f>IF($D397="","",IFERROR(INDEX(INVENTARIO!$C$7:$C$26,MATCH($D397,INVENTARIO!$B$7:$B$26,0)),"⚠ ID no existe"))</f>
        <v/>
      </c>
      <c r="F397" s="128" t="n"/>
      <c r="G397" s="129" t="n"/>
      <c r="H397" s="112">
        <f>IF($D397="","",IF($G397="",IFERROR(INDEX(INVENTARIO!$N$7:$N$26,MATCH($D397,INVENTARIO!$B$7:$B$26,0)),""),$G397))</f>
        <v/>
      </c>
      <c r="I397" s="114">
        <f>IF($D397="","",N($F397)*IF(ISNUMBER($H397),$H397,0))</f>
        <v/>
      </c>
      <c r="J397" s="115">
        <f>IF($D397="","",IFERROR(IF(INDEX(INVENTARIO!$O$7:$O$26,MATCH($D397,INVENTARIO!$B$7:$B$26,0))="",CFG_WALMART,INDEX(INVENTARIO!$O$7:$O$26,MATCH($D397,INVENTARIO!$B$7:$B$26,0))),CFG_WALMART))</f>
        <v/>
      </c>
      <c r="K397" s="112">
        <f>IF($D397="","",$I397*$J397)</f>
        <v/>
      </c>
      <c r="L397" s="129" t="n"/>
      <c r="M397" s="114">
        <f>IF($D397="","",$I397-$K397-N($L397))</f>
        <v/>
      </c>
      <c r="N397" s="113">
        <f>IF($D397="","",IFERROR(INDEX(INVENTARIO!$L$7:$L$26,MATCH($D397,INVENTARIO!$B$7:$B$26,0))*1,0))</f>
        <v/>
      </c>
      <c r="O397" s="112">
        <f>IF($D397="","",N($F397)*$N397)</f>
        <v/>
      </c>
      <c r="P397" s="114">
        <f>IF($D397="","",$M397-$O397)</f>
        <v/>
      </c>
      <c r="Q397" s="115">
        <f>IF($D397="","",IF($I397&gt;0,$P397/$I397,""))</f>
        <v/>
      </c>
      <c r="R397" s="127" t="n"/>
    </row>
    <row r="398">
      <c r="B398" s="130" t="n"/>
      <c r="C398" s="100" t="n"/>
      <c r="D398" s="100" t="n"/>
      <c r="E398" s="96">
        <f>IF($D398="","",IFERROR(INDEX(INVENTARIO!$C$7:$C$26,MATCH($D398,INVENTARIO!$B$7:$B$26,0)),"⚠ ID no existe"))</f>
        <v/>
      </c>
      <c r="F398" s="128" t="n"/>
      <c r="G398" s="129" t="n"/>
      <c r="H398" s="112">
        <f>IF($D398="","",IF($G398="",IFERROR(INDEX(INVENTARIO!$N$7:$N$26,MATCH($D398,INVENTARIO!$B$7:$B$26,0)),""),$G398))</f>
        <v/>
      </c>
      <c r="I398" s="114">
        <f>IF($D398="","",N($F398)*IF(ISNUMBER($H398),$H398,0))</f>
        <v/>
      </c>
      <c r="J398" s="115">
        <f>IF($D398="","",IFERROR(IF(INDEX(INVENTARIO!$O$7:$O$26,MATCH($D398,INVENTARIO!$B$7:$B$26,0))="",CFG_WALMART,INDEX(INVENTARIO!$O$7:$O$26,MATCH($D398,INVENTARIO!$B$7:$B$26,0))),CFG_WALMART))</f>
        <v/>
      </c>
      <c r="K398" s="112">
        <f>IF($D398="","",$I398*$J398)</f>
        <v/>
      </c>
      <c r="L398" s="129" t="n"/>
      <c r="M398" s="114">
        <f>IF($D398="","",$I398-$K398-N($L398))</f>
        <v/>
      </c>
      <c r="N398" s="113">
        <f>IF($D398="","",IFERROR(INDEX(INVENTARIO!$L$7:$L$26,MATCH($D398,INVENTARIO!$B$7:$B$26,0))*1,0))</f>
        <v/>
      </c>
      <c r="O398" s="112">
        <f>IF($D398="","",N($F398)*$N398)</f>
        <v/>
      </c>
      <c r="P398" s="114">
        <f>IF($D398="","",$M398-$O398)</f>
        <v/>
      </c>
      <c r="Q398" s="115">
        <f>IF($D398="","",IF($I398&gt;0,$P398/$I398,""))</f>
        <v/>
      </c>
      <c r="R398" s="127" t="n"/>
    </row>
    <row r="399">
      <c r="B399" s="130" t="n"/>
      <c r="C399" s="100" t="n"/>
      <c r="D399" s="100" t="n"/>
      <c r="E399" s="96">
        <f>IF($D399="","",IFERROR(INDEX(INVENTARIO!$C$7:$C$26,MATCH($D399,INVENTARIO!$B$7:$B$26,0)),"⚠ ID no existe"))</f>
        <v/>
      </c>
      <c r="F399" s="128" t="n"/>
      <c r="G399" s="129" t="n"/>
      <c r="H399" s="112">
        <f>IF($D399="","",IF($G399="",IFERROR(INDEX(INVENTARIO!$N$7:$N$26,MATCH($D399,INVENTARIO!$B$7:$B$26,0)),""),$G399))</f>
        <v/>
      </c>
      <c r="I399" s="114">
        <f>IF($D399="","",N($F399)*IF(ISNUMBER($H399),$H399,0))</f>
        <v/>
      </c>
      <c r="J399" s="115">
        <f>IF($D399="","",IFERROR(IF(INDEX(INVENTARIO!$O$7:$O$26,MATCH($D399,INVENTARIO!$B$7:$B$26,0))="",CFG_WALMART,INDEX(INVENTARIO!$O$7:$O$26,MATCH($D399,INVENTARIO!$B$7:$B$26,0))),CFG_WALMART))</f>
        <v/>
      </c>
      <c r="K399" s="112">
        <f>IF($D399="","",$I399*$J399)</f>
        <v/>
      </c>
      <c r="L399" s="129" t="n"/>
      <c r="M399" s="114">
        <f>IF($D399="","",$I399-$K399-N($L399))</f>
        <v/>
      </c>
      <c r="N399" s="113">
        <f>IF($D399="","",IFERROR(INDEX(INVENTARIO!$L$7:$L$26,MATCH($D399,INVENTARIO!$B$7:$B$26,0))*1,0))</f>
        <v/>
      </c>
      <c r="O399" s="112">
        <f>IF($D399="","",N($F399)*$N399)</f>
        <v/>
      </c>
      <c r="P399" s="114">
        <f>IF($D399="","",$M399-$O399)</f>
        <v/>
      </c>
      <c r="Q399" s="115">
        <f>IF($D399="","",IF($I399&gt;0,$P399/$I399,""))</f>
        <v/>
      </c>
      <c r="R399" s="127" t="n"/>
    </row>
    <row r="400">
      <c r="B400" s="130" t="n"/>
      <c r="C400" s="100" t="n"/>
      <c r="D400" s="100" t="n"/>
      <c r="E400" s="96">
        <f>IF($D400="","",IFERROR(INDEX(INVENTARIO!$C$7:$C$26,MATCH($D400,INVENTARIO!$B$7:$B$26,0)),"⚠ ID no existe"))</f>
        <v/>
      </c>
      <c r="F400" s="128" t="n"/>
      <c r="G400" s="129" t="n"/>
      <c r="H400" s="112">
        <f>IF($D400="","",IF($G400="",IFERROR(INDEX(INVENTARIO!$N$7:$N$26,MATCH($D400,INVENTARIO!$B$7:$B$26,0)),""),$G400))</f>
        <v/>
      </c>
      <c r="I400" s="114">
        <f>IF($D400="","",N($F400)*IF(ISNUMBER($H400),$H400,0))</f>
        <v/>
      </c>
      <c r="J400" s="115">
        <f>IF($D400="","",IFERROR(IF(INDEX(INVENTARIO!$O$7:$O$26,MATCH($D400,INVENTARIO!$B$7:$B$26,0))="",CFG_WALMART,INDEX(INVENTARIO!$O$7:$O$26,MATCH($D400,INVENTARIO!$B$7:$B$26,0))),CFG_WALMART))</f>
        <v/>
      </c>
      <c r="K400" s="112">
        <f>IF($D400="","",$I400*$J400)</f>
        <v/>
      </c>
      <c r="L400" s="129" t="n"/>
      <c r="M400" s="114">
        <f>IF($D400="","",$I400-$K400-N($L400))</f>
        <v/>
      </c>
      <c r="N400" s="113">
        <f>IF($D400="","",IFERROR(INDEX(INVENTARIO!$L$7:$L$26,MATCH($D400,INVENTARIO!$B$7:$B$26,0))*1,0))</f>
        <v/>
      </c>
      <c r="O400" s="112">
        <f>IF($D400="","",N($F400)*$N400)</f>
        <v/>
      </c>
      <c r="P400" s="114">
        <f>IF($D400="","",$M400-$O400)</f>
        <v/>
      </c>
      <c r="Q400" s="115">
        <f>IF($D400="","",IF($I400&gt;0,$P400/$I400,""))</f>
        <v/>
      </c>
      <c r="R400" s="127" t="n"/>
    </row>
    <row r="401">
      <c r="B401" s="130" t="n"/>
      <c r="C401" s="100" t="n"/>
      <c r="D401" s="100" t="n"/>
      <c r="E401" s="96">
        <f>IF($D401="","",IFERROR(INDEX(INVENTARIO!$C$7:$C$26,MATCH($D401,INVENTARIO!$B$7:$B$26,0)),"⚠ ID no existe"))</f>
        <v/>
      </c>
      <c r="F401" s="128" t="n"/>
      <c r="G401" s="129" t="n"/>
      <c r="H401" s="112">
        <f>IF($D401="","",IF($G401="",IFERROR(INDEX(INVENTARIO!$N$7:$N$26,MATCH($D401,INVENTARIO!$B$7:$B$26,0)),""),$G401))</f>
        <v/>
      </c>
      <c r="I401" s="114">
        <f>IF($D401="","",N($F401)*IF(ISNUMBER($H401),$H401,0))</f>
        <v/>
      </c>
      <c r="J401" s="115">
        <f>IF($D401="","",IFERROR(IF(INDEX(INVENTARIO!$O$7:$O$26,MATCH($D401,INVENTARIO!$B$7:$B$26,0))="",CFG_WALMART,INDEX(INVENTARIO!$O$7:$O$26,MATCH($D401,INVENTARIO!$B$7:$B$26,0))),CFG_WALMART))</f>
        <v/>
      </c>
      <c r="K401" s="112">
        <f>IF($D401="","",$I401*$J401)</f>
        <v/>
      </c>
      <c r="L401" s="129" t="n"/>
      <c r="M401" s="114">
        <f>IF($D401="","",$I401-$K401-N($L401))</f>
        <v/>
      </c>
      <c r="N401" s="113">
        <f>IF($D401="","",IFERROR(INDEX(INVENTARIO!$L$7:$L$26,MATCH($D401,INVENTARIO!$B$7:$B$26,0))*1,0))</f>
        <v/>
      </c>
      <c r="O401" s="112">
        <f>IF($D401="","",N($F401)*$N401)</f>
        <v/>
      </c>
      <c r="P401" s="114">
        <f>IF($D401="","",$M401-$O401)</f>
        <v/>
      </c>
      <c r="Q401" s="115">
        <f>IF($D401="","",IF($I401&gt;0,$P401/$I401,""))</f>
        <v/>
      </c>
      <c r="R401" s="127" t="n"/>
    </row>
    <row r="402">
      <c r="B402" s="130" t="n"/>
      <c r="C402" s="100" t="n"/>
      <c r="D402" s="100" t="n"/>
      <c r="E402" s="96">
        <f>IF($D402="","",IFERROR(INDEX(INVENTARIO!$C$7:$C$26,MATCH($D402,INVENTARIO!$B$7:$B$26,0)),"⚠ ID no existe"))</f>
        <v/>
      </c>
      <c r="F402" s="128" t="n"/>
      <c r="G402" s="129" t="n"/>
      <c r="H402" s="112">
        <f>IF($D402="","",IF($G402="",IFERROR(INDEX(INVENTARIO!$N$7:$N$26,MATCH($D402,INVENTARIO!$B$7:$B$26,0)),""),$G402))</f>
        <v/>
      </c>
      <c r="I402" s="114">
        <f>IF($D402="","",N($F402)*IF(ISNUMBER($H402),$H402,0))</f>
        <v/>
      </c>
      <c r="J402" s="115">
        <f>IF($D402="","",IFERROR(IF(INDEX(INVENTARIO!$O$7:$O$26,MATCH($D402,INVENTARIO!$B$7:$B$26,0))="",CFG_WALMART,INDEX(INVENTARIO!$O$7:$O$26,MATCH($D402,INVENTARIO!$B$7:$B$26,0))),CFG_WALMART))</f>
        <v/>
      </c>
      <c r="K402" s="112">
        <f>IF($D402="","",$I402*$J402)</f>
        <v/>
      </c>
      <c r="L402" s="129" t="n"/>
      <c r="M402" s="114">
        <f>IF($D402="","",$I402-$K402-N($L402))</f>
        <v/>
      </c>
      <c r="N402" s="113">
        <f>IF($D402="","",IFERROR(INDEX(INVENTARIO!$L$7:$L$26,MATCH($D402,INVENTARIO!$B$7:$B$26,0))*1,0))</f>
        <v/>
      </c>
      <c r="O402" s="112">
        <f>IF($D402="","",N($F402)*$N402)</f>
        <v/>
      </c>
      <c r="P402" s="114">
        <f>IF($D402="","",$M402-$O402)</f>
        <v/>
      </c>
      <c r="Q402" s="115">
        <f>IF($D402="","",IF($I402&gt;0,$P402/$I402,""))</f>
        <v/>
      </c>
      <c r="R402" s="127" t="n"/>
    </row>
    <row r="403">
      <c r="B403" s="130" t="n"/>
      <c r="C403" s="100" t="n"/>
      <c r="D403" s="100" t="n"/>
      <c r="E403" s="96">
        <f>IF($D403="","",IFERROR(INDEX(INVENTARIO!$C$7:$C$26,MATCH($D403,INVENTARIO!$B$7:$B$26,0)),"⚠ ID no existe"))</f>
        <v/>
      </c>
      <c r="F403" s="128" t="n"/>
      <c r="G403" s="129" t="n"/>
      <c r="H403" s="112">
        <f>IF($D403="","",IF($G403="",IFERROR(INDEX(INVENTARIO!$N$7:$N$26,MATCH($D403,INVENTARIO!$B$7:$B$26,0)),""),$G403))</f>
        <v/>
      </c>
      <c r="I403" s="114">
        <f>IF($D403="","",N($F403)*IF(ISNUMBER($H403),$H403,0))</f>
        <v/>
      </c>
      <c r="J403" s="115">
        <f>IF($D403="","",IFERROR(IF(INDEX(INVENTARIO!$O$7:$O$26,MATCH($D403,INVENTARIO!$B$7:$B$26,0))="",CFG_WALMART,INDEX(INVENTARIO!$O$7:$O$26,MATCH($D403,INVENTARIO!$B$7:$B$26,0))),CFG_WALMART))</f>
        <v/>
      </c>
      <c r="K403" s="112">
        <f>IF($D403="","",$I403*$J403)</f>
        <v/>
      </c>
      <c r="L403" s="129" t="n"/>
      <c r="M403" s="114">
        <f>IF($D403="","",$I403-$K403-N($L403))</f>
        <v/>
      </c>
      <c r="N403" s="113">
        <f>IF($D403="","",IFERROR(INDEX(INVENTARIO!$L$7:$L$26,MATCH($D403,INVENTARIO!$B$7:$B$26,0))*1,0))</f>
        <v/>
      </c>
      <c r="O403" s="112">
        <f>IF($D403="","",N($F403)*$N403)</f>
        <v/>
      </c>
      <c r="P403" s="114">
        <f>IF($D403="","",$M403-$O403)</f>
        <v/>
      </c>
      <c r="Q403" s="115">
        <f>IF($D403="","",IF($I403&gt;0,$P403/$I403,""))</f>
        <v/>
      </c>
      <c r="R403" s="127" t="n"/>
    </row>
    <row r="404">
      <c r="B404" s="130" t="n"/>
      <c r="C404" s="100" t="n"/>
      <c r="D404" s="100" t="n"/>
      <c r="E404" s="96">
        <f>IF($D404="","",IFERROR(INDEX(INVENTARIO!$C$7:$C$26,MATCH($D404,INVENTARIO!$B$7:$B$26,0)),"⚠ ID no existe"))</f>
        <v/>
      </c>
      <c r="F404" s="128" t="n"/>
      <c r="G404" s="129" t="n"/>
      <c r="H404" s="112">
        <f>IF($D404="","",IF($G404="",IFERROR(INDEX(INVENTARIO!$N$7:$N$26,MATCH($D404,INVENTARIO!$B$7:$B$26,0)),""),$G404))</f>
        <v/>
      </c>
      <c r="I404" s="114">
        <f>IF($D404="","",N($F404)*IF(ISNUMBER($H404),$H404,0))</f>
        <v/>
      </c>
      <c r="J404" s="115">
        <f>IF($D404="","",IFERROR(IF(INDEX(INVENTARIO!$O$7:$O$26,MATCH($D404,INVENTARIO!$B$7:$B$26,0))="",CFG_WALMART,INDEX(INVENTARIO!$O$7:$O$26,MATCH($D404,INVENTARIO!$B$7:$B$26,0))),CFG_WALMART))</f>
        <v/>
      </c>
      <c r="K404" s="112">
        <f>IF($D404="","",$I404*$J404)</f>
        <v/>
      </c>
      <c r="L404" s="129" t="n"/>
      <c r="M404" s="114">
        <f>IF($D404="","",$I404-$K404-N($L404))</f>
        <v/>
      </c>
      <c r="N404" s="113">
        <f>IF($D404="","",IFERROR(INDEX(INVENTARIO!$L$7:$L$26,MATCH($D404,INVENTARIO!$B$7:$B$26,0))*1,0))</f>
        <v/>
      </c>
      <c r="O404" s="112">
        <f>IF($D404="","",N($F404)*$N404)</f>
        <v/>
      </c>
      <c r="P404" s="114">
        <f>IF($D404="","",$M404-$O404)</f>
        <v/>
      </c>
      <c r="Q404" s="115">
        <f>IF($D404="","",IF($I404&gt;0,$P404/$I404,""))</f>
        <v/>
      </c>
      <c r="R404" s="127" t="n"/>
    </row>
    <row r="405">
      <c r="B405" s="130" t="n"/>
      <c r="C405" s="100" t="n"/>
      <c r="D405" s="100" t="n"/>
      <c r="E405" s="96">
        <f>IF($D405="","",IFERROR(INDEX(INVENTARIO!$C$7:$C$26,MATCH($D405,INVENTARIO!$B$7:$B$26,0)),"⚠ ID no existe"))</f>
        <v/>
      </c>
      <c r="F405" s="128" t="n"/>
      <c r="G405" s="129" t="n"/>
      <c r="H405" s="112">
        <f>IF($D405="","",IF($G405="",IFERROR(INDEX(INVENTARIO!$N$7:$N$26,MATCH($D405,INVENTARIO!$B$7:$B$26,0)),""),$G405))</f>
        <v/>
      </c>
      <c r="I405" s="114">
        <f>IF($D405="","",N($F405)*IF(ISNUMBER($H405),$H405,0))</f>
        <v/>
      </c>
      <c r="J405" s="115">
        <f>IF($D405="","",IFERROR(IF(INDEX(INVENTARIO!$O$7:$O$26,MATCH($D405,INVENTARIO!$B$7:$B$26,0))="",CFG_WALMART,INDEX(INVENTARIO!$O$7:$O$26,MATCH($D405,INVENTARIO!$B$7:$B$26,0))),CFG_WALMART))</f>
        <v/>
      </c>
      <c r="K405" s="112">
        <f>IF($D405="","",$I405*$J405)</f>
        <v/>
      </c>
      <c r="L405" s="129" t="n"/>
      <c r="M405" s="114">
        <f>IF($D405="","",$I405-$K405-N($L405))</f>
        <v/>
      </c>
      <c r="N405" s="113">
        <f>IF($D405="","",IFERROR(INDEX(INVENTARIO!$L$7:$L$26,MATCH($D405,INVENTARIO!$B$7:$B$26,0))*1,0))</f>
        <v/>
      </c>
      <c r="O405" s="112">
        <f>IF($D405="","",N($F405)*$N405)</f>
        <v/>
      </c>
      <c r="P405" s="114">
        <f>IF($D405="","",$M405-$O405)</f>
        <v/>
      </c>
      <c r="Q405" s="115">
        <f>IF($D405="","",IF($I405&gt;0,$P405/$I405,""))</f>
        <v/>
      </c>
      <c r="R405" s="127" t="n"/>
    </row>
    <row r="406">
      <c r="B406" s="130" t="n"/>
      <c r="C406" s="100" t="n"/>
      <c r="D406" s="100" t="n"/>
      <c r="E406" s="96">
        <f>IF($D406="","",IFERROR(INDEX(INVENTARIO!$C$7:$C$26,MATCH($D406,INVENTARIO!$B$7:$B$26,0)),"⚠ ID no existe"))</f>
        <v/>
      </c>
      <c r="F406" s="128" t="n"/>
      <c r="G406" s="129" t="n"/>
      <c r="H406" s="112">
        <f>IF($D406="","",IF($G406="",IFERROR(INDEX(INVENTARIO!$N$7:$N$26,MATCH($D406,INVENTARIO!$B$7:$B$26,0)),""),$G406))</f>
        <v/>
      </c>
      <c r="I406" s="114">
        <f>IF($D406="","",N($F406)*IF(ISNUMBER($H406),$H406,0))</f>
        <v/>
      </c>
      <c r="J406" s="115">
        <f>IF($D406="","",IFERROR(IF(INDEX(INVENTARIO!$O$7:$O$26,MATCH($D406,INVENTARIO!$B$7:$B$26,0))="",CFG_WALMART,INDEX(INVENTARIO!$O$7:$O$26,MATCH($D406,INVENTARIO!$B$7:$B$26,0))),CFG_WALMART))</f>
        <v/>
      </c>
      <c r="K406" s="112">
        <f>IF($D406="","",$I406*$J406)</f>
        <v/>
      </c>
      <c r="L406" s="129" t="n"/>
      <c r="M406" s="114">
        <f>IF($D406="","",$I406-$K406-N($L406))</f>
        <v/>
      </c>
      <c r="N406" s="113">
        <f>IF($D406="","",IFERROR(INDEX(INVENTARIO!$L$7:$L$26,MATCH($D406,INVENTARIO!$B$7:$B$26,0))*1,0))</f>
        <v/>
      </c>
      <c r="O406" s="112">
        <f>IF($D406="","",N($F406)*$N406)</f>
        <v/>
      </c>
      <c r="P406" s="114">
        <f>IF($D406="","",$M406-$O406)</f>
        <v/>
      </c>
      <c r="Q406" s="115">
        <f>IF($D406="","",IF($I406&gt;0,$P406/$I406,""))</f>
        <v/>
      </c>
      <c r="R406" s="127" t="n"/>
    </row>
    <row r="407">
      <c r="B407" s="130" t="n"/>
      <c r="C407" s="100" t="n"/>
      <c r="D407" s="100" t="n"/>
      <c r="E407" s="96">
        <f>IF($D407="","",IFERROR(INDEX(INVENTARIO!$C$7:$C$26,MATCH($D407,INVENTARIO!$B$7:$B$26,0)),"⚠ ID no existe"))</f>
        <v/>
      </c>
      <c r="F407" s="128" t="n"/>
      <c r="G407" s="129" t="n"/>
      <c r="H407" s="112">
        <f>IF($D407="","",IF($G407="",IFERROR(INDEX(INVENTARIO!$N$7:$N$26,MATCH($D407,INVENTARIO!$B$7:$B$26,0)),""),$G407))</f>
        <v/>
      </c>
      <c r="I407" s="114">
        <f>IF($D407="","",N($F407)*IF(ISNUMBER($H407),$H407,0))</f>
        <v/>
      </c>
      <c r="J407" s="115">
        <f>IF($D407="","",IFERROR(IF(INDEX(INVENTARIO!$O$7:$O$26,MATCH($D407,INVENTARIO!$B$7:$B$26,0))="",CFG_WALMART,INDEX(INVENTARIO!$O$7:$O$26,MATCH($D407,INVENTARIO!$B$7:$B$26,0))),CFG_WALMART))</f>
        <v/>
      </c>
      <c r="K407" s="112">
        <f>IF($D407="","",$I407*$J407)</f>
        <v/>
      </c>
      <c r="L407" s="129" t="n"/>
      <c r="M407" s="114">
        <f>IF($D407="","",$I407-$K407-N($L407))</f>
        <v/>
      </c>
      <c r="N407" s="113">
        <f>IF($D407="","",IFERROR(INDEX(INVENTARIO!$L$7:$L$26,MATCH($D407,INVENTARIO!$B$7:$B$26,0))*1,0))</f>
        <v/>
      </c>
      <c r="O407" s="112">
        <f>IF($D407="","",N($F407)*$N407)</f>
        <v/>
      </c>
      <c r="P407" s="114">
        <f>IF($D407="","",$M407-$O407)</f>
        <v/>
      </c>
      <c r="Q407" s="115">
        <f>IF($D407="","",IF($I407&gt;0,$P407/$I407,""))</f>
        <v/>
      </c>
      <c r="R407" s="127" t="n"/>
    </row>
    <row r="408">
      <c r="B408" s="130" t="n"/>
      <c r="C408" s="100" t="n"/>
      <c r="D408" s="100" t="n"/>
      <c r="E408" s="96">
        <f>IF($D408="","",IFERROR(INDEX(INVENTARIO!$C$7:$C$26,MATCH($D408,INVENTARIO!$B$7:$B$26,0)),"⚠ ID no existe"))</f>
        <v/>
      </c>
      <c r="F408" s="128" t="n"/>
      <c r="G408" s="129" t="n"/>
      <c r="H408" s="112">
        <f>IF($D408="","",IF($G408="",IFERROR(INDEX(INVENTARIO!$N$7:$N$26,MATCH($D408,INVENTARIO!$B$7:$B$26,0)),""),$G408))</f>
        <v/>
      </c>
      <c r="I408" s="114">
        <f>IF($D408="","",N($F408)*IF(ISNUMBER($H408),$H408,0))</f>
        <v/>
      </c>
      <c r="J408" s="115">
        <f>IF($D408="","",IFERROR(IF(INDEX(INVENTARIO!$O$7:$O$26,MATCH($D408,INVENTARIO!$B$7:$B$26,0))="",CFG_WALMART,INDEX(INVENTARIO!$O$7:$O$26,MATCH($D408,INVENTARIO!$B$7:$B$26,0))),CFG_WALMART))</f>
        <v/>
      </c>
      <c r="K408" s="112">
        <f>IF($D408="","",$I408*$J408)</f>
        <v/>
      </c>
      <c r="L408" s="129" t="n"/>
      <c r="M408" s="114">
        <f>IF($D408="","",$I408-$K408-N($L408))</f>
        <v/>
      </c>
      <c r="N408" s="113">
        <f>IF($D408="","",IFERROR(INDEX(INVENTARIO!$L$7:$L$26,MATCH($D408,INVENTARIO!$B$7:$B$26,0))*1,0))</f>
        <v/>
      </c>
      <c r="O408" s="112">
        <f>IF($D408="","",N($F408)*$N408)</f>
        <v/>
      </c>
      <c r="P408" s="114">
        <f>IF($D408="","",$M408-$O408)</f>
        <v/>
      </c>
      <c r="Q408" s="115">
        <f>IF($D408="","",IF($I408&gt;0,$P408/$I408,""))</f>
        <v/>
      </c>
      <c r="R408" s="127" t="n"/>
    </row>
    <row r="409">
      <c r="B409" s="130" t="n"/>
      <c r="C409" s="100" t="n"/>
      <c r="D409" s="100" t="n"/>
      <c r="E409" s="96">
        <f>IF($D409="","",IFERROR(INDEX(INVENTARIO!$C$7:$C$26,MATCH($D409,INVENTARIO!$B$7:$B$26,0)),"⚠ ID no existe"))</f>
        <v/>
      </c>
      <c r="F409" s="128" t="n"/>
      <c r="G409" s="129" t="n"/>
      <c r="H409" s="112">
        <f>IF($D409="","",IF($G409="",IFERROR(INDEX(INVENTARIO!$N$7:$N$26,MATCH($D409,INVENTARIO!$B$7:$B$26,0)),""),$G409))</f>
        <v/>
      </c>
      <c r="I409" s="114">
        <f>IF($D409="","",N($F409)*IF(ISNUMBER($H409),$H409,0))</f>
        <v/>
      </c>
      <c r="J409" s="115">
        <f>IF($D409="","",IFERROR(IF(INDEX(INVENTARIO!$O$7:$O$26,MATCH($D409,INVENTARIO!$B$7:$B$26,0))="",CFG_WALMART,INDEX(INVENTARIO!$O$7:$O$26,MATCH($D409,INVENTARIO!$B$7:$B$26,0))),CFG_WALMART))</f>
        <v/>
      </c>
      <c r="K409" s="112">
        <f>IF($D409="","",$I409*$J409)</f>
        <v/>
      </c>
      <c r="L409" s="129" t="n"/>
      <c r="M409" s="114">
        <f>IF($D409="","",$I409-$K409-N($L409))</f>
        <v/>
      </c>
      <c r="N409" s="113">
        <f>IF($D409="","",IFERROR(INDEX(INVENTARIO!$L$7:$L$26,MATCH($D409,INVENTARIO!$B$7:$B$26,0))*1,0))</f>
        <v/>
      </c>
      <c r="O409" s="112">
        <f>IF($D409="","",N($F409)*$N409)</f>
        <v/>
      </c>
      <c r="P409" s="114">
        <f>IF($D409="","",$M409-$O409)</f>
        <v/>
      </c>
      <c r="Q409" s="115">
        <f>IF($D409="","",IF($I409&gt;0,$P409/$I409,""))</f>
        <v/>
      </c>
      <c r="R409" s="127" t="n"/>
    </row>
    <row r="410">
      <c r="B410" s="130" t="n"/>
      <c r="C410" s="100" t="n"/>
      <c r="D410" s="100" t="n"/>
      <c r="E410" s="96">
        <f>IF($D410="","",IFERROR(INDEX(INVENTARIO!$C$7:$C$26,MATCH($D410,INVENTARIO!$B$7:$B$26,0)),"⚠ ID no existe"))</f>
        <v/>
      </c>
      <c r="F410" s="128" t="n"/>
      <c r="G410" s="129" t="n"/>
      <c r="H410" s="112">
        <f>IF($D410="","",IF($G410="",IFERROR(INDEX(INVENTARIO!$N$7:$N$26,MATCH($D410,INVENTARIO!$B$7:$B$26,0)),""),$G410))</f>
        <v/>
      </c>
      <c r="I410" s="114">
        <f>IF($D410="","",N($F410)*IF(ISNUMBER($H410),$H410,0))</f>
        <v/>
      </c>
      <c r="J410" s="115">
        <f>IF($D410="","",IFERROR(IF(INDEX(INVENTARIO!$O$7:$O$26,MATCH($D410,INVENTARIO!$B$7:$B$26,0))="",CFG_WALMART,INDEX(INVENTARIO!$O$7:$O$26,MATCH($D410,INVENTARIO!$B$7:$B$26,0))),CFG_WALMART))</f>
        <v/>
      </c>
      <c r="K410" s="112">
        <f>IF($D410="","",$I410*$J410)</f>
        <v/>
      </c>
      <c r="L410" s="129" t="n"/>
      <c r="M410" s="114">
        <f>IF($D410="","",$I410-$K410-N($L410))</f>
        <v/>
      </c>
      <c r="N410" s="113">
        <f>IF($D410="","",IFERROR(INDEX(INVENTARIO!$L$7:$L$26,MATCH($D410,INVENTARIO!$B$7:$B$26,0))*1,0))</f>
        <v/>
      </c>
      <c r="O410" s="112">
        <f>IF($D410="","",N($F410)*$N410)</f>
        <v/>
      </c>
      <c r="P410" s="114">
        <f>IF($D410="","",$M410-$O410)</f>
        <v/>
      </c>
      <c r="Q410" s="115">
        <f>IF($D410="","",IF($I410&gt;0,$P410/$I410,""))</f>
        <v/>
      </c>
      <c r="R410" s="127" t="n"/>
    </row>
    <row r="411">
      <c r="B411" s="130" t="n"/>
      <c r="C411" s="100" t="n"/>
      <c r="D411" s="100" t="n"/>
      <c r="E411" s="96">
        <f>IF($D411="","",IFERROR(INDEX(INVENTARIO!$C$7:$C$26,MATCH($D411,INVENTARIO!$B$7:$B$26,0)),"⚠ ID no existe"))</f>
        <v/>
      </c>
      <c r="F411" s="128" t="n"/>
      <c r="G411" s="129" t="n"/>
      <c r="H411" s="112">
        <f>IF($D411="","",IF($G411="",IFERROR(INDEX(INVENTARIO!$N$7:$N$26,MATCH($D411,INVENTARIO!$B$7:$B$26,0)),""),$G411))</f>
        <v/>
      </c>
      <c r="I411" s="114">
        <f>IF($D411="","",N($F411)*IF(ISNUMBER($H411),$H411,0))</f>
        <v/>
      </c>
      <c r="J411" s="115">
        <f>IF($D411="","",IFERROR(IF(INDEX(INVENTARIO!$O$7:$O$26,MATCH($D411,INVENTARIO!$B$7:$B$26,0))="",CFG_WALMART,INDEX(INVENTARIO!$O$7:$O$26,MATCH($D411,INVENTARIO!$B$7:$B$26,0))),CFG_WALMART))</f>
        <v/>
      </c>
      <c r="K411" s="112">
        <f>IF($D411="","",$I411*$J411)</f>
        <v/>
      </c>
      <c r="L411" s="129" t="n"/>
      <c r="M411" s="114">
        <f>IF($D411="","",$I411-$K411-N($L411))</f>
        <v/>
      </c>
      <c r="N411" s="113">
        <f>IF($D411="","",IFERROR(INDEX(INVENTARIO!$L$7:$L$26,MATCH($D411,INVENTARIO!$B$7:$B$26,0))*1,0))</f>
        <v/>
      </c>
      <c r="O411" s="112">
        <f>IF($D411="","",N($F411)*$N411)</f>
        <v/>
      </c>
      <c r="P411" s="114">
        <f>IF($D411="","",$M411-$O411)</f>
        <v/>
      </c>
      <c r="Q411" s="115">
        <f>IF($D411="","",IF($I411&gt;0,$P411/$I411,""))</f>
        <v/>
      </c>
      <c r="R411" s="127" t="n"/>
    </row>
    <row r="412">
      <c r="B412" s="130" t="n"/>
      <c r="C412" s="100" t="n"/>
      <c r="D412" s="100" t="n"/>
      <c r="E412" s="96">
        <f>IF($D412="","",IFERROR(INDEX(INVENTARIO!$C$7:$C$26,MATCH($D412,INVENTARIO!$B$7:$B$26,0)),"⚠ ID no existe"))</f>
        <v/>
      </c>
      <c r="F412" s="128" t="n"/>
      <c r="G412" s="129" t="n"/>
      <c r="H412" s="112">
        <f>IF($D412="","",IF($G412="",IFERROR(INDEX(INVENTARIO!$N$7:$N$26,MATCH($D412,INVENTARIO!$B$7:$B$26,0)),""),$G412))</f>
        <v/>
      </c>
      <c r="I412" s="114">
        <f>IF($D412="","",N($F412)*IF(ISNUMBER($H412),$H412,0))</f>
        <v/>
      </c>
      <c r="J412" s="115">
        <f>IF($D412="","",IFERROR(IF(INDEX(INVENTARIO!$O$7:$O$26,MATCH($D412,INVENTARIO!$B$7:$B$26,0))="",CFG_WALMART,INDEX(INVENTARIO!$O$7:$O$26,MATCH($D412,INVENTARIO!$B$7:$B$26,0))),CFG_WALMART))</f>
        <v/>
      </c>
      <c r="K412" s="112">
        <f>IF($D412="","",$I412*$J412)</f>
        <v/>
      </c>
      <c r="L412" s="129" t="n"/>
      <c r="M412" s="114">
        <f>IF($D412="","",$I412-$K412-N($L412))</f>
        <v/>
      </c>
      <c r="N412" s="113">
        <f>IF($D412="","",IFERROR(INDEX(INVENTARIO!$L$7:$L$26,MATCH($D412,INVENTARIO!$B$7:$B$26,0))*1,0))</f>
        <v/>
      </c>
      <c r="O412" s="112">
        <f>IF($D412="","",N($F412)*$N412)</f>
        <v/>
      </c>
      <c r="P412" s="114">
        <f>IF($D412="","",$M412-$O412)</f>
        <v/>
      </c>
      <c r="Q412" s="115">
        <f>IF($D412="","",IF($I412&gt;0,$P412/$I412,""))</f>
        <v/>
      </c>
      <c r="R412" s="127" t="n"/>
    </row>
    <row r="413">
      <c r="B413" s="130" t="n"/>
      <c r="C413" s="100" t="n"/>
      <c r="D413" s="100" t="n"/>
      <c r="E413" s="96">
        <f>IF($D413="","",IFERROR(INDEX(INVENTARIO!$C$7:$C$26,MATCH($D413,INVENTARIO!$B$7:$B$26,0)),"⚠ ID no existe"))</f>
        <v/>
      </c>
      <c r="F413" s="128" t="n"/>
      <c r="G413" s="129" t="n"/>
      <c r="H413" s="112">
        <f>IF($D413="","",IF($G413="",IFERROR(INDEX(INVENTARIO!$N$7:$N$26,MATCH($D413,INVENTARIO!$B$7:$B$26,0)),""),$G413))</f>
        <v/>
      </c>
      <c r="I413" s="114">
        <f>IF($D413="","",N($F413)*IF(ISNUMBER($H413),$H413,0))</f>
        <v/>
      </c>
      <c r="J413" s="115">
        <f>IF($D413="","",IFERROR(IF(INDEX(INVENTARIO!$O$7:$O$26,MATCH($D413,INVENTARIO!$B$7:$B$26,0))="",CFG_WALMART,INDEX(INVENTARIO!$O$7:$O$26,MATCH($D413,INVENTARIO!$B$7:$B$26,0))),CFG_WALMART))</f>
        <v/>
      </c>
      <c r="K413" s="112">
        <f>IF($D413="","",$I413*$J413)</f>
        <v/>
      </c>
      <c r="L413" s="129" t="n"/>
      <c r="M413" s="114">
        <f>IF($D413="","",$I413-$K413-N($L413))</f>
        <v/>
      </c>
      <c r="N413" s="113">
        <f>IF($D413="","",IFERROR(INDEX(INVENTARIO!$L$7:$L$26,MATCH($D413,INVENTARIO!$B$7:$B$26,0))*1,0))</f>
        <v/>
      </c>
      <c r="O413" s="112">
        <f>IF($D413="","",N($F413)*$N413)</f>
        <v/>
      </c>
      <c r="P413" s="114">
        <f>IF($D413="","",$M413-$O413)</f>
        <v/>
      </c>
      <c r="Q413" s="115">
        <f>IF($D413="","",IF($I413&gt;0,$P413/$I413,""))</f>
        <v/>
      </c>
      <c r="R413" s="127" t="n"/>
    </row>
    <row r="414">
      <c r="B414" s="130" t="n"/>
      <c r="C414" s="100" t="n"/>
      <c r="D414" s="100" t="n"/>
      <c r="E414" s="96">
        <f>IF($D414="","",IFERROR(INDEX(INVENTARIO!$C$7:$C$26,MATCH($D414,INVENTARIO!$B$7:$B$26,0)),"⚠ ID no existe"))</f>
        <v/>
      </c>
      <c r="F414" s="128" t="n"/>
      <c r="G414" s="129" t="n"/>
      <c r="H414" s="112">
        <f>IF($D414="","",IF($G414="",IFERROR(INDEX(INVENTARIO!$N$7:$N$26,MATCH($D414,INVENTARIO!$B$7:$B$26,0)),""),$G414))</f>
        <v/>
      </c>
      <c r="I414" s="114">
        <f>IF($D414="","",N($F414)*IF(ISNUMBER($H414),$H414,0))</f>
        <v/>
      </c>
      <c r="J414" s="115">
        <f>IF($D414="","",IFERROR(IF(INDEX(INVENTARIO!$O$7:$O$26,MATCH($D414,INVENTARIO!$B$7:$B$26,0))="",CFG_WALMART,INDEX(INVENTARIO!$O$7:$O$26,MATCH($D414,INVENTARIO!$B$7:$B$26,0))),CFG_WALMART))</f>
        <v/>
      </c>
      <c r="K414" s="112">
        <f>IF($D414="","",$I414*$J414)</f>
        <v/>
      </c>
      <c r="L414" s="129" t="n"/>
      <c r="M414" s="114">
        <f>IF($D414="","",$I414-$K414-N($L414))</f>
        <v/>
      </c>
      <c r="N414" s="113">
        <f>IF($D414="","",IFERROR(INDEX(INVENTARIO!$L$7:$L$26,MATCH($D414,INVENTARIO!$B$7:$B$26,0))*1,0))</f>
        <v/>
      </c>
      <c r="O414" s="112">
        <f>IF($D414="","",N($F414)*$N414)</f>
        <v/>
      </c>
      <c r="P414" s="114">
        <f>IF($D414="","",$M414-$O414)</f>
        <v/>
      </c>
      <c r="Q414" s="115">
        <f>IF($D414="","",IF($I414&gt;0,$P414/$I414,""))</f>
        <v/>
      </c>
      <c r="R414" s="127" t="n"/>
    </row>
    <row r="415">
      <c r="B415" s="130" t="n"/>
      <c r="C415" s="100" t="n"/>
      <c r="D415" s="100" t="n"/>
      <c r="E415" s="96">
        <f>IF($D415="","",IFERROR(INDEX(INVENTARIO!$C$7:$C$26,MATCH($D415,INVENTARIO!$B$7:$B$26,0)),"⚠ ID no existe"))</f>
        <v/>
      </c>
      <c r="F415" s="128" t="n"/>
      <c r="G415" s="129" t="n"/>
      <c r="H415" s="112">
        <f>IF($D415="","",IF($G415="",IFERROR(INDEX(INVENTARIO!$N$7:$N$26,MATCH($D415,INVENTARIO!$B$7:$B$26,0)),""),$G415))</f>
        <v/>
      </c>
      <c r="I415" s="114">
        <f>IF($D415="","",N($F415)*IF(ISNUMBER($H415),$H415,0))</f>
        <v/>
      </c>
      <c r="J415" s="115">
        <f>IF($D415="","",IFERROR(IF(INDEX(INVENTARIO!$O$7:$O$26,MATCH($D415,INVENTARIO!$B$7:$B$26,0))="",CFG_WALMART,INDEX(INVENTARIO!$O$7:$O$26,MATCH($D415,INVENTARIO!$B$7:$B$26,0))),CFG_WALMART))</f>
        <v/>
      </c>
      <c r="K415" s="112">
        <f>IF($D415="","",$I415*$J415)</f>
        <v/>
      </c>
      <c r="L415" s="129" t="n"/>
      <c r="M415" s="114">
        <f>IF($D415="","",$I415-$K415-N($L415))</f>
        <v/>
      </c>
      <c r="N415" s="113">
        <f>IF($D415="","",IFERROR(INDEX(INVENTARIO!$L$7:$L$26,MATCH($D415,INVENTARIO!$B$7:$B$26,0))*1,0))</f>
        <v/>
      </c>
      <c r="O415" s="112">
        <f>IF($D415="","",N($F415)*$N415)</f>
        <v/>
      </c>
      <c r="P415" s="114">
        <f>IF($D415="","",$M415-$O415)</f>
        <v/>
      </c>
      <c r="Q415" s="115">
        <f>IF($D415="","",IF($I415&gt;0,$P415/$I415,""))</f>
        <v/>
      </c>
      <c r="R415" s="127" t="n"/>
    </row>
    <row r="416">
      <c r="B416" s="130" t="n"/>
      <c r="C416" s="100" t="n"/>
      <c r="D416" s="100" t="n"/>
      <c r="E416" s="96">
        <f>IF($D416="","",IFERROR(INDEX(INVENTARIO!$C$7:$C$26,MATCH($D416,INVENTARIO!$B$7:$B$26,0)),"⚠ ID no existe"))</f>
        <v/>
      </c>
      <c r="F416" s="128" t="n"/>
      <c r="G416" s="129" t="n"/>
      <c r="H416" s="112">
        <f>IF($D416="","",IF($G416="",IFERROR(INDEX(INVENTARIO!$N$7:$N$26,MATCH($D416,INVENTARIO!$B$7:$B$26,0)),""),$G416))</f>
        <v/>
      </c>
      <c r="I416" s="114">
        <f>IF($D416="","",N($F416)*IF(ISNUMBER($H416),$H416,0))</f>
        <v/>
      </c>
      <c r="J416" s="115">
        <f>IF($D416="","",IFERROR(IF(INDEX(INVENTARIO!$O$7:$O$26,MATCH($D416,INVENTARIO!$B$7:$B$26,0))="",CFG_WALMART,INDEX(INVENTARIO!$O$7:$O$26,MATCH($D416,INVENTARIO!$B$7:$B$26,0))),CFG_WALMART))</f>
        <v/>
      </c>
      <c r="K416" s="112">
        <f>IF($D416="","",$I416*$J416)</f>
        <v/>
      </c>
      <c r="L416" s="129" t="n"/>
      <c r="M416" s="114">
        <f>IF($D416="","",$I416-$K416-N($L416))</f>
        <v/>
      </c>
      <c r="N416" s="113">
        <f>IF($D416="","",IFERROR(INDEX(INVENTARIO!$L$7:$L$26,MATCH($D416,INVENTARIO!$B$7:$B$26,0))*1,0))</f>
        <v/>
      </c>
      <c r="O416" s="112">
        <f>IF($D416="","",N($F416)*$N416)</f>
        <v/>
      </c>
      <c r="P416" s="114">
        <f>IF($D416="","",$M416-$O416)</f>
        <v/>
      </c>
      <c r="Q416" s="115">
        <f>IF($D416="","",IF($I416&gt;0,$P416/$I416,""))</f>
        <v/>
      </c>
      <c r="R416" s="127" t="n"/>
    </row>
    <row r="417">
      <c r="B417" s="130" t="n"/>
      <c r="C417" s="100" t="n"/>
      <c r="D417" s="100" t="n"/>
      <c r="E417" s="96">
        <f>IF($D417="","",IFERROR(INDEX(INVENTARIO!$C$7:$C$26,MATCH($D417,INVENTARIO!$B$7:$B$26,0)),"⚠ ID no existe"))</f>
        <v/>
      </c>
      <c r="F417" s="128" t="n"/>
      <c r="G417" s="129" t="n"/>
      <c r="H417" s="112">
        <f>IF($D417="","",IF($G417="",IFERROR(INDEX(INVENTARIO!$N$7:$N$26,MATCH($D417,INVENTARIO!$B$7:$B$26,0)),""),$G417))</f>
        <v/>
      </c>
      <c r="I417" s="114">
        <f>IF($D417="","",N($F417)*IF(ISNUMBER($H417),$H417,0))</f>
        <v/>
      </c>
      <c r="J417" s="115">
        <f>IF($D417="","",IFERROR(IF(INDEX(INVENTARIO!$O$7:$O$26,MATCH($D417,INVENTARIO!$B$7:$B$26,0))="",CFG_WALMART,INDEX(INVENTARIO!$O$7:$O$26,MATCH($D417,INVENTARIO!$B$7:$B$26,0))),CFG_WALMART))</f>
        <v/>
      </c>
      <c r="K417" s="112">
        <f>IF($D417="","",$I417*$J417)</f>
        <v/>
      </c>
      <c r="L417" s="129" t="n"/>
      <c r="M417" s="114">
        <f>IF($D417="","",$I417-$K417-N($L417))</f>
        <v/>
      </c>
      <c r="N417" s="113">
        <f>IF($D417="","",IFERROR(INDEX(INVENTARIO!$L$7:$L$26,MATCH($D417,INVENTARIO!$B$7:$B$26,0))*1,0))</f>
        <v/>
      </c>
      <c r="O417" s="112">
        <f>IF($D417="","",N($F417)*$N417)</f>
        <v/>
      </c>
      <c r="P417" s="114">
        <f>IF($D417="","",$M417-$O417)</f>
        <v/>
      </c>
      <c r="Q417" s="115">
        <f>IF($D417="","",IF($I417&gt;0,$P417/$I417,""))</f>
        <v/>
      </c>
      <c r="R417" s="127" t="n"/>
    </row>
    <row r="418">
      <c r="B418" s="130" t="n"/>
      <c r="C418" s="100" t="n"/>
      <c r="D418" s="100" t="n"/>
      <c r="E418" s="96">
        <f>IF($D418="","",IFERROR(INDEX(INVENTARIO!$C$7:$C$26,MATCH($D418,INVENTARIO!$B$7:$B$26,0)),"⚠ ID no existe"))</f>
        <v/>
      </c>
      <c r="F418" s="128" t="n"/>
      <c r="G418" s="129" t="n"/>
      <c r="H418" s="112">
        <f>IF($D418="","",IF($G418="",IFERROR(INDEX(INVENTARIO!$N$7:$N$26,MATCH($D418,INVENTARIO!$B$7:$B$26,0)),""),$G418))</f>
        <v/>
      </c>
      <c r="I418" s="114">
        <f>IF($D418="","",N($F418)*IF(ISNUMBER($H418),$H418,0))</f>
        <v/>
      </c>
      <c r="J418" s="115">
        <f>IF($D418="","",IFERROR(IF(INDEX(INVENTARIO!$O$7:$O$26,MATCH($D418,INVENTARIO!$B$7:$B$26,0))="",CFG_WALMART,INDEX(INVENTARIO!$O$7:$O$26,MATCH($D418,INVENTARIO!$B$7:$B$26,0))),CFG_WALMART))</f>
        <v/>
      </c>
      <c r="K418" s="112">
        <f>IF($D418="","",$I418*$J418)</f>
        <v/>
      </c>
      <c r="L418" s="129" t="n"/>
      <c r="M418" s="114">
        <f>IF($D418="","",$I418-$K418-N($L418))</f>
        <v/>
      </c>
      <c r="N418" s="113">
        <f>IF($D418="","",IFERROR(INDEX(INVENTARIO!$L$7:$L$26,MATCH($D418,INVENTARIO!$B$7:$B$26,0))*1,0))</f>
        <v/>
      </c>
      <c r="O418" s="112">
        <f>IF($D418="","",N($F418)*$N418)</f>
        <v/>
      </c>
      <c r="P418" s="114">
        <f>IF($D418="","",$M418-$O418)</f>
        <v/>
      </c>
      <c r="Q418" s="115">
        <f>IF($D418="","",IF($I418&gt;0,$P418/$I418,""))</f>
        <v/>
      </c>
      <c r="R418" s="127" t="n"/>
    </row>
    <row r="419">
      <c r="B419" s="130" t="n"/>
      <c r="C419" s="100" t="n"/>
      <c r="D419" s="100" t="n"/>
      <c r="E419" s="96">
        <f>IF($D419="","",IFERROR(INDEX(INVENTARIO!$C$7:$C$26,MATCH($D419,INVENTARIO!$B$7:$B$26,0)),"⚠ ID no existe"))</f>
        <v/>
      </c>
      <c r="F419" s="128" t="n"/>
      <c r="G419" s="129" t="n"/>
      <c r="H419" s="112">
        <f>IF($D419="","",IF($G419="",IFERROR(INDEX(INVENTARIO!$N$7:$N$26,MATCH($D419,INVENTARIO!$B$7:$B$26,0)),""),$G419))</f>
        <v/>
      </c>
      <c r="I419" s="114">
        <f>IF($D419="","",N($F419)*IF(ISNUMBER($H419),$H419,0))</f>
        <v/>
      </c>
      <c r="J419" s="115">
        <f>IF($D419="","",IFERROR(IF(INDEX(INVENTARIO!$O$7:$O$26,MATCH($D419,INVENTARIO!$B$7:$B$26,0))="",CFG_WALMART,INDEX(INVENTARIO!$O$7:$O$26,MATCH($D419,INVENTARIO!$B$7:$B$26,0))),CFG_WALMART))</f>
        <v/>
      </c>
      <c r="K419" s="112">
        <f>IF($D419="","",$I419*$J419)</f>
        <v/>
      </c>
      <c r="L419" s="129" t="n"/>
      <c r="M419" s="114">
        <f>IF($D419="","",$I419-$K419-N($L419))</f>
        <v/>
      </c>
      <c r="N419" s="113">
        <f>IF($D419="","",IFERROR(INDEX(INVENTARIO!$L$7:$L$26,MATCH($D419,INVENTARIO!$B$7:$B$26,0))*1,0))</f>
        <v/>
      </c>
      <c r="O419" s="112">
        <f>IF($D419="","",N($F419)*$N419)</f>
        <v/>
      </c>
      <c r="P419" s="114">
        <f>IF($D419="","",$M419-$O419)</f>
        <v/>
      </c>
      <c r="Q419" s="115">
        <f>IF($D419="","",IF($I419&gt;0,$P419/$I419,""))</f>
        <v/>
      </c>
      <c r="R419" s="127" t="n"/>
    </row>
    <row r="420">
      <c r="B420" s="130" t="n"/>
      <c r="C420" s="100" t="n"/>
      <c r="D420" s="100" t="n"/>
      <c r="E420" s="96">
        <f>IF($D420="","",IFERROR(INDEX(INVENTARIO!$C$7:$C$26,MATCH($D420,INVENTARIO!$B$7:$B$26,0)),"⚠ ID no existe"))</f>
        <v/>
      </c>
      <c r="F420" s="128" t="n"/>
      <c r="G420" s="129" t="n"/>
      <c r="H420" s="112">
        <f>IF($D420="","",IF($G420="",IFERROR(INDEX(INVENTARIO!$N$7:$N$26,MATCH($D420,INVENTARIO!$B$7:$B$26,0)),""),$G420))</f>
        <v/>
      </c>
      <c r="I420" s="114">
        <f>IF($D420="","",N($F420)*IF(ISNUMBER($H420),$H420,0))</f>
        <v/>
      </c>
      <c r="J420" s="115">
        <f>IF($D420="","",IFERROR(IF(INDEX(INVENTARIO!$O$7:$O$26,MATCH($D420,INVENTARIO!$B$7:$B$26,0))="",CFG_WALMART,INDEX(INVENTARIO!$O$7:$O$26,MATCH($D420,INVENTARIO!$B$7:$B$26,0))),CFG_WALMART))</f>
        <v/>
      </c>
      <c r="K420" s="112">
        <f>IF($D420="","",$I420*$J420)</f>
        <v/>
      </c>
      <c r="L420" s="129" t="n"/>
      <c r="M420" s="114">
        <f>IF($D420="","",$I420-$K420-N($L420))</f>
        <v/>
      </c>
      <c r="N420" s="113">
        <f>IF($D420="","",IFERROR(INDEX(INVENTARIO!$L$7:$L$26,MATCH($D420,INVENTARIO!$B$7:$B$26,0))*1,0))</f>
        <v/>
      </c>
      <c r="O420" s="112">
        <f>IF($D420="","",N($F420)*$N420)</f>
        <v/>
      </c>
      <c r="P420" s="114">
        <f>IF($D420="","",$M420-$O420)</f>
        <v/>
      </c>
      <c r="Q420" s="115">
        <f>IF($D420="","",IF($I420&gt;0,$P420/$I420,""))</f>
        <v/>
      </c>
      <c r="R420" s="127" t="n"/>
    </row>
    <row r="421">
      <c r="B421" s="130" t="n"/>
      <c r="C421" s="100" t="n"/>
      <c r="D421" s="100" t="n"/>
      <c r="E421" s="96">
        <f>IF($D421="","",IFERROR(INDEX(INVENTARIO!$C$7:$C$26,MATCH($D421,INVENTARIO!$B$7:$B$26,0)),"⚠ ID no existe"))</f>
        <v/>
      </c>
      <c r="F421" s="128" t="n"/>
      <c r="G421" s="129" t="n"/>
      <c r="H421" s="112">
        <f>IF($D421="","",IF($G421="",IFERROR(INDEX(INVENTARIO!$N$7:$N$26,MATCH($D421,INVENTARIO!$B$7:$B$26,0)),""),$G421))</f>
        <v/>
      </c>
      <c r="I421" s="114">
        <f>IF($D421="","",N($F421)*IF(ISNUMBER($H421),$H421,0))</f>
        <v/>
      </c>
      <c r="J421" s="115">
        <f>IF($D421="","",IFERROR(IF(INDEX(INVENTARIO!$O$7:$O$26,MATCH($D421,INVENTARIO!$B$7:$B$26,0))="",CFG_WALMART,INDEX(INVENTARIO!$O$7:$O$26,MATCH($D421,INVENTARIO!$B$7:$B$26,0))),CFG_WALMART))</f>
        <v/>
      </c>
      <c r="K421" s="112">
        <f>IF($D421="","",$I421*$J421)</f>
        <v/>
      </c>
      <c r="L421" s="129" t="n"/>
      <c r="M421" s="114">
        <f>IF($D421="","",$I421-$K421-N($L421))</f>
        <v/>
      </c>
      <c r="N421" s="113">
        <f>IF($D421="","",IFERROR(INDEX(INVENTARIO!$L$7:$L$26,MATCH($D421,INVENTARIO!$B$7:$B$26,0))*1,0))</f>
        <v/>
      </c>
      <c r="O421" s="112">
        <f>IF($D421="","",N($F421)*$N421)</f>
        <v/>
      </c>
      <c r="P421" s="114">
        <f>IF($D421="","",$M421-$O421)</f>
        <v/>
      </c>
      <c r="Q421" s="115">
        <f>IF($D421="","",IF($I421&gt;0,$P421/$I421,""))</f>
        <v/>
      </c>
      <c r="R421" s="127" t="n"/>
    </row>
    <row r="422">
      <c r="B422" s="130" t="n"/>
      <c r="C422" s="100" t="n"/>
      <c r="D422" s="100" t="n"/>
      <c r="E422" s="96">
        <f>IF($D422="","",IFERROR(INDEX(INVENTARIO!$C$7:$C$26,MATCH($D422,INVENTARIO!$B$7:$B$26,0)),"⚠ ID no existe"))</f>
        <v/>
      </c>
      <c r="F422" s="128" t="n"/>
      <c r="G422" s="129" t="n"/>
      <c r="H422" s="112">
        <f>IF($D422="","",IF($G422="",IFERROR(INDEX(INVENTARIO!$N$7:$N$26,MATCH($D422,INVENTARIO!$B$7:$B$26,0)),""),$G422))</f>
        <v/>
      </c>
      <c r="I422" s="114">
        <f>IF($D422="","",N($F422)*IF(ISNUMBER($H422),$H422,0))</f>
        <v/>
      </c>
      <c r="J422" s="115">
        <f>IF($D422="","",IFERROR(IF(INDEX(INVENTARIO!$O$7:$O$26,MATCH($D422,INVENTARIO!$B$7:$B$26,0))="",CFG_WALMART,INDEX(INVENTARIO!$O$7:$O$26,MATCH($D422,INVENTARIO!$B$7:$B$26,0))),CFG_WALMART))</f>
        <v/>
      </c>
      <c r="K422" s="112">
        <f>IF($D422="","",$I422*$J422)</f>
        <v/>
      </c>
      <c r="L422" s="129" t="n"/>
      <c r="M422" s="114">
        <f>IF($D422="","",$I422-$K422-N($L422))</f>
        <v/>
      </c>
      <c r="N422" s="113">
        <f>IF($D422="","",IFERROR(INDEX(INVENTARIO!$L$7:$L$26,MATCH($D422,INVENTARIO!$B$7:$B$26,0))*1,0))</f>
        <v/>
      </c>
      <c r="O422" s="112">
        <f>IF($D422="","",N($F422)*$N422)</f>
        <v/>
      </c>
      <c r="P422" s="114">
        <f>IF($D422="","",$M422-$O422)</f>
        <v/>
      </c>
      <c r="Q422" s="115">
        <f>IF($D422="","",IF($I422&gt;0,$P422/$I422,""))</f>
        <v/>
      </c>
      <c r="R422" s="127" t="n"/>
    </row>
    <row r="423">
      <c r="B423" s="130" t="n"/>
      <c r="C423" s="100" t="n"/>
      <c r="D423" s="100" t="n"/>
      <c r="E423" s="96">
        <f>IF($D423="","",IFERROR(INDEX(INVENTARIO!$C$7:$C$26,MATCH($D423,INVENTARIO!$B$7:$B$26,0)),"⚠ ID no existe"))</f>
        <v/>
      </c>
      <c r="F423" s="128" t="n"/>
      <c r="G423" s="129" t="n"/>
      <c r="H423" s="112">
        <f>IF($D423="","",IF($G423="",IFERROR(INDEX(INVENTARIO!$N$7:$N$26,MATCH($D423,INVENTARIO!$B$7:$B$26,0)),""),$G423))</f>
        <v/>
      </c>
      <c r="I423" s="114">
        <f>IF($D423="","",N($F423)*IF(ISNUMBER($H423),$H423,0))</f>
        <v/>
      </c>
      <c r="J423" s="115">
        <f>IF($D423="","",IFERROR(IF(INDEX(INVENTARIO!$O$7:$O$26,MATCH($D423,INVENTARIO!$B$7:$B$26,0))="",CFG_WALMART,INDEX(INVENTARIO!$O$7:$O$26,MATCH($D423,INVENTARIO!$B$7:$B$26,0))),CFG_WALMART))</f>
        <v/>
      </c>
      <c r="K423" s="112">
        <f>IF($D423="","",$I423*$J423)</f>
        <v/>
      </c>
      <c r="L423" s="129" t="n"/>
      <c r="M423" s="114">
        <f>IF($D423="","",$I423-$K423-N($L423))</f>
        <v/>
      </c>
      <c r="N423" s="113">
        <f>IF($D423="","",IFERROR(INDEX(INVENTARIO!$L$7:$L$26,MATCH($D423,INVENTARIO!$B$7:$B$26,0))*1,0))</f>
        <v/>
      </c>
      <c r="O423" s="112">
        <f>IF($D423="","",N($F423)*$N423)</f>
        <v/>
      </c>
      <c r="P423" s="114">
        <f>IF($D423="","",$M423-$O423)</f>
        <v/>
      </c>
      <c r="Q423" s="115">
        <f>IF($D423="","",IF($I423&gt;0,$P423/$I423,""))</f>
        <v/>
      </c>
      <c r="R423" s="127" t="n"/>
    </row>
    <row r="424">
      <c r="B424" s="130" t="n"/>
      <c r="C424" s="100" t="n"/>
      <c r="D424" s="100" t="n"/>
      <c r="E424" s="96">
        <f>IF($D424="","",IFERROR(INDEX(INVENTARIO!$C$7:$C$26,MATCH($D424,INVENTARIO!$B$7:$B$26,0)),"⚠ ID no existe"))</f>
        <v/>
      </c>
      <c r="F424" s="128" t="n"/>
      <c r="G424" s="129" t="n"/>
      <c r="H424" s="112">
        <f>IF($D424="","",IF($G424="",IFERROR(INDEX(INVENTARIO!$N$7:$N$26,MATCH($D424,INVENTARIO!$B$7:$B$26,0)),""),$G424))</f>
        <v/>
      </c>
      <c r="I424" s="114">
        <f>IF($D424="","",N($F424)*IF(ISNUMBER($H424),$H424,0))</f>
        <v/>
      </c>
      <c r="J424" s="115">
        <f>IF($D424="","",IFERROR(IF(INDEX(INVENTARIO!$O$7:$O$26,MATCH($D424,INVENTARIO!$B$7:$B$26,0))="",CFG_WALMART,INDEX(INVENTARIO!$O$7:$O$26,MATCH($D424,INVENTARIO!$B$7:$B$26,0))),CFG_WALMART))</f>
        <v/>
      </c>
      <c r="K424" s="112">
        <f>IF($D424="","",$I424*$J424)</f>
        <v/>
      </c>
      <c r="L424" s="129" t="n"/>
      <c r="M424" s="114">
        <f>IF($D424="","",$I424-$K424-N($L424))</f>
        <v/>
      </c>
      <c r="N424" s="113">
        <f>IF($D424="","",IFERROR(INDEX(INVENTARIO!$L$7:$L$26,MATCH($D424,INVENTARIO!$B$7:$B$26,0))*1,0))</f>
        <v/>
      </c>
      <c r="O424" s="112">
        <f>IF($D424="","",N($F424)*$N424)</f>
        <v/>
      </c>
      <c r="P424" s="114">
        <f>IF($D424="","",$M424-$O424)</f>
        <v/>
      </c>
      <c r="Q424" s="115">
        <f>IF($D424="","",IF($I424&gt;0,$P424/$I424,""))</f>
        <v/>
      </c>
      <c r="R424" s="127" t="n"/>
    </row>
    <row r="425">
      <c r="B425" s="130" t="n"/>
      <c r="C425" s="100" t="n"/>
      <c r="D425" s="100" t="n"/>
      <c r="E425" s="96">
        <f>IF($D425="","",IFERROR(INDEX(INVENTARIO!$C$7:$C$26,MATCH($D425,INVENTARIO!$B$7:$B$26,0)),"⚠ ID no existe"))</f>
        <v/>
      </c>
      <c r="F425" s="128" t="n"/>
      <c r="G425" s="129" t="n"/>
      <c r="H425" s="112">
        <f>IF($D425="","",IF($G425="",IFERROR(INDEX(INVENTARIO!$N$7:$N$26,MATCH($D425,INVENTARIO!$B$7:$B$26,0)),""),$G425))</f>
        <v/>
      </c>
      <c r="I425" s="114">
        <f>IF($D425="","",N($F425)*IF(ISNUMBER($H425),$H425,0))</f>
        <v/>
      </c>
      <c r="J425" s="115">
        <f>IF($D425="","",IFERROR(IF(INDEX(INVENTARIO!$O$7:$O$26,MATCH($D425,INVENTARIO!$B$7:$B$26,0))="",CFG_WALMART,INDEX(INVENTARIO!$O$7:$O$26,MATCH($D425,INVENTARIO!$B$7:$B$26,0))),CFG_WALMART))</f>
        <v/>
      </c>
      <c r="K425" s="112">
        <f>IF($D425="","",$I425*$J425)</f>
        <v/>
      </c>
      <c r="L425" s="129" t="n"/>
      <c r="M425" s="114">
        <f>IF($D425="","",$I425-$K425-N($L425))</f>
        <v/>
      </c>
      <c r="N425" s="113">
        <f>IF($D425="","",IFERROR(INDEX(INVENTARIO!$L$7:$L$26,MATCH($D425,INVENTARIO!$B$7:$B$26,0))*1,0))</f>
        <v/>
      </c>
      <c r="O425" s="112">
        <f>IF($D425="","",N($F425)*$N425)</f>
        <v/>
      </c>
      <c r="P425" s="114">
        <f>IF($D425="","",$M425-$O425)</f>
        <v/>
      </c>
      <c r="Q425" s="115">
        <f>IF($D425="","",IF($I425&gt;0,$P425/$I425,""))</f>
        <v/>
      </c>
      <c r="R425" s="127" t="n"/>
    </row>
    <row r="426">
      <c r="B426" s="130" t="n"/>
      <c r="C426" s="100" t="n"/>
      <c r="D426" s="100" t="n"/>
      <c r="E426" s="96">
        <f>IF($D426="","",IFERROR(INDEX(INVENTARIO!$C$7:$C$26,MATCH($D426,INVENTARIO!$B$7:$B$26,0)),"⚠ ID no existe"))</f>
        <v/>
      </c>
      <c r="F426" s="128" t="n"/>
      <c r="G426" s="129" t="n"/>
      <c r="H426" s="112">
        <f>IF($D426="","",IF($G426="",IFERROR(INDEX(INVENTARIO!$N$7:$N$26,MATCH($D426,INVENTARIO!$B$7:$B$26,0)),""),$G426))</f>
        <v/>
      </c>
      <c r="I426" s="114">
        <f>IF($D426="","",N($F426)*IF(ISNUMBER($H426),$H426,0))</f>
        <v/>
      </c>
      <c r="J426" s="115">
        <f>IF($D426="","",IFERROR(IF(INDEX(INVENTARIO!$O$7:$O$26,MATCH($D426,INVENTARIO!$B$7:$B$26,0))="",CFG_WALMART,INDEX(INVENTARIO!$O$7:$O$26,MATCH($D426,INVENTARIO!$B$7:$B$26,0))),CFG_WALMART))</f>
        <v/>
      </c>
      <c r="K426" s="112">
        <f>IF($D426="","",$I426*$J426)</f>
        <v/>
      </c>
      <c r="L426" s="129" t="n"/>
      <c r="M426" s="114">
        <f>IF($D426="","",$I426-$K426-N($L426))</f>
        <v/>
      </c>
      <c r="N426" s="113">
        <f>IF($D426="","",IFERROR(INDEX(INVENTARIO!$L$7:$L$26,MATCH($D426,INVENTARIO!$B$7:$B$26,0))*1,0))</f>
        <v/>
      </c>
      <c r="O426" s="112">
        <f>IF($D426="","",N($F426)*$N426)</f>
        <v/>
      </c>
      <c r="P426" s="114">
        <f>IF($D426="","",$M426-$O426)</f>
        <v/>
      </c>
      <c r="Q426" s="115">
        <f>IF($D426="","",IF($I426&gt;0,$P426/$I426,""))</f>
        <v/>
      </c>
      <c r="R426" s="127" t="n"/>
    </row>
    <row r="427">
      <c r="B427" s="130" t="n"/>
      <c r="C427" s="100" t="n"/>
      <c r="D427" s="100" t="n"/>
      <c r="E427" s="96">
        <f>IF($D427="","",IFERROR(INDEX(INVENTARIO!$C$7:$C$26,MATCH($D427,INVENTARIO!$B$7:$B$26,0)),"⚠ ID no existe"))</f>
        <v/>
      </c>
      <c r="F427" s="128" t="n"/>
      <c r="G427" s="129" t="n"/>
      <c r="H427" s="112">
        <f>IF($D427="","",IF($G427="",IFERROR(INDEX(INVENTARIO!$N$7:$N$26,MATCH($D427,INVENTARIO!$B$7:$B$26,0)),""),$G427))</f>
        <v/>
      </c>
      <c r="I427" s="114">
        <f>IF($D427="","",N($F427)*IF(ISNUMBER($H427),$H427,0))</f>
        <v/>
      </c>
      <c r="J427" s="115">
        <f>IF($D427="","",IFERROR(IF(INDEX(INVENTARIO!$O$7:$O$26,MATCH($D427,INVENTARIO!$B$7:$B$26,0))="",CFG_WALMART,INDEX(INVENTARIO!$O$7:$O$26,MATCH($D427,INVENTARIO!$B$7:$B$26,0))),CFG_WALMART))</f>
        <v/>
      </c>
      <c r="K427" s="112">
        <f>IF($D427="","",$I427*$J427)</f>
        <v/>
      </c>
      <c r="L427" s="129" t="n"/>
      <c r="M427" s="114">
        <f>IF($D427="","",$I427-$K427-N($L427))</f>
        <v/>
      </c>
      <c r="N427" s="113">
        <f>IF($D427="","",IFERROR(INDEX(INVENTARIO!$L$7:$L$26,MATCH($D427,INVENTARIO!$B$7:$B$26,0))*1,0))</f>
        <v/>
      </c>
      <c r="O427" s="112">
        <f>IF($D427="","",N($F427)*$N427)</f>
        <v/>
      </c>
      <c r="P427" s="114">
        <f>IF($D427="","",$M427-$O427)</f>
        <v/>
      </c>
      <c r="Q427" s="115">
        <f>IF($D427="","",IF($I427&gt;0,$P427/$I427,""))</f>
        <v/>
      </c>
      <c r="R427" s="127" t="n"/>
    </row>
    <row r="428">
      <c r="B428" s="130" t="n"/>
      <c r="C428" s="100" t="n"/>
      <c r="D428" s="100" t="n"/>
      <c r="E428" s="96">
        <f>IF($D428="","",IFERROR(INDEX(INVENTARIO!$C$7:$C$26,MATCH($D428,INVENTARIO!$B$7:$B$26,0)),"⚠ ID no existe"))</f>
        <v/>
      </c>
      <c r="F428" s="128" t="n"/>
      <c r="G428" s="129" t="n"/>
      <c r="H428" s="112">
        <f>IF($D428="","",IF($G428="",IFERROR(INDEX(INVENTARIO!$N$7:$N$26,MATCH($D428,INVENTARIO!$B$7:$B$26,0)),""),$G428))</f>
        <v/>
      </c>
      <c r="I428" s="114">
        <f>IF($D428="","",N($F428)*IF(ISNUMBER($H428),$H428,0))</f>
        <v/>
      </c>
      <c r="J428" s="115">
        <f>IF($D428="","",IFERROR(IF(INDEX(INVENTARIO!$O$7:$O$26,MATCH($D428,INVENTARIO!$B$7:$B$26,0))="",CFG_WALMART,INDEX(INVENTARIO!$O$7:$O$26,MATCH($D428,INVENTARIO!$B$7:$B$26,0))),CFG_WALMART))</f>
        <v/>
      </c>
      <c r="K428" s="112">
        <f>IF($D428="","",$I428*$J428)</f>
        <v/>
      </c>
      <c r="L428" s="129" t="n"/>
      <c r="M428" s="114">
        <f>IF($D428="","",$I428-$K428-N($L428))</f>
        <v/>
      </c>
      <c r="N428" s="113">
        <f>IF($D428="","",IFERROR(INDEX(INVENTARIO!$L$7:$L$26,MATCH($D428,INVENTARIO!$B$7:$B$26,0))*1,0))</f>
        <v/>
      </c>
      <c r="O428" s="112">
        <f>IF($D428="","",N($F428)*$N428)</f>
        <v/>
      </c>
      <c r="P428" s="114">
        <f>IF($D428="","",$M428-$O428)</f>
        <v/>
      </c>
      <c r="Q428" s="115">
        <f>IF($D428="","",IF($I428&gt;0,$P428/$I428,""))</f>
        <v/>
      </c>
      <c r="R428" s="127" t="n"/>
    </row>
    <row r="429">
      <c r="B429" s="130" t="n"/>
      <c r="C429" s="100" t="n"/>
      <c r="D429" s="100" t="n"/>
      <c r="E429" s="96">
        <f>IF($D429="","",IFERROR(INDEX(INVENTARIO!$C$7:$C$26,MATCH($D429,INVENTARIO!$B$7:$B$26,0)),"⚠ ID no existe"))</f>
        <v/>
      </c>
      <c r="F429" s="128" t="n"/>
      <c r="G429" s="129" t="n"/>
      <c r="H429" s="112">
        <f>IF($D429="","",IF($G429="",IFERROR(INDEX(INVENTARIO!$N$7:$N$26,MATCH($D429,INVENTARIO!$B$7:$B$26,0)),""),$G429))</f>
        <v/>
      </c>
      <c r="I429" s="114">
        <f>IF($D429="","",N($F429)*IF(ISNUMBER($H429),$H429,0))</f>
        <v/>
      </c>
      <c r="J429" s="115">
        <f>IF($D429="","",IFERROR(IF(INDEX(INVENTARIO!$O$7:$O$26,MATCH($D429,INVENTARIO!$B$7:$B$26,0))="",CFG_WALMART,INDEX(INVENTARIO!$O$7:$O$26,MATCH($D429,INVENTARIO!$B$7:$B$26,0))),CFG_WALMART))</f>
        <v/>
      </c>
      <c r="K429" s="112">
        <f>IF($D429="","",$I429*$J429)</f>
        <v/>
      </c>
      <c r="L429" s="129" t="n"/>
      <c r="M429" s="114">
        <f>IF($D429="","",$I429-$K429-N($L429))</f>
        <v/>
      </c>
      <c r="N429" s="113">
        <f>IF($D429="","",IFERROR(INDEX(INVENTARIO!$L$7:$L$26,MATCH($D429,INVENTARIO!$B$7:$B$26,0))*1,0))</f>
        <v/>
      </c>
      <c r="O429" s="112">
        <f>IF($D429="","",N($F429)*$N429)</f>
        <v/>
      </c>
      <c r="P429" s="114">
        <f>IF($D429="","",$M429-$O429)</f>
        <v/>
      </c>
      <c r="Q429" s="115">
        <f>IF($D429="","",IF($I429&gt;0,$P429/$I429,""))</f>
        <v/>
      </c>
      <c r="R429" s="127" t="n"/>
    </row>
    <row r="430">
      <c r="B430" s="130" t="n"/>
      <c r="C430" s="100" t="n"/>
      <c r="D430" s="100" t="n"/>
      <c r="E430" s="96">
        <f>IF($D430="","",IFERROR(INDEX(INVENTARIO!$C$7:$C$26,MATCH($D430,INVENTARIO!$B$7:$B$26,0)),"⚠ ID no existe"))</f>
        <v/>
      </c>
      <c r="F430" s="128" t="n"/>
      <c r="G430" s="129" t="n"/>
      <c r="H430" s="112">
        <f>IF($D430="","",IF($G430="",IFERROR(INDEX(INVENTARIO!$N$7:$N$26,MATCH($D430,INVENTARIO!$B$7:$B$26,0)),""),$G430))</f>
        <v/>
      </c>
      <c r="I430" s="114">
        <f>IF($D430="","",N($F430)*IF(ISNUMBER($H430),$H430,0))</f>
        <v/>
      </c>
      <c r="J430" s="115">
        <f>IF($D430="","",IFERROR(IF(INDEX(INVENTARIO!$O$7:$O$26,MATCH($D430,INVENTARIO!$B$7:$B$26,0))="",CFG_WALMART,INDEX(INVENTARIO!$O$7:$O$26,MATCH($D430,INVENTARIO!$B$7:$B$26,0))),CFG_WALMART))</f>
        <v/>
      </c>
      <c r="K430" s="112">
        <f>IF($D430="","",$I430*$J430)</f>
        <v/>
      </c>
      <c r="L430" s="129" t="n"/>
      <c r="M430" s="114">
        <f>IF($D430="","",$I430-$K430-N($L430))</f>
        <v/>
      </c>
      <c r="N430" s="113">
        <f>IF($D430="","",IFERROR(INDEX(INVENTARIO!$L$7:$L$26,MATCH($D430,INVENTARIO!$B$7:$B$26,0))*1,0))</f>
        <v/>
      </c>
      <c r="O430" s="112">
        <f>IF($D430="","",N($F430)*$N430)</f>
        <v/>
      </c>
      <c r="P430" s="114">
        <f>IF($D430="","",$M430-$O430)</f>
        <v/>
      </c>
      <c r="Q430" s="115">
        <f>IF($D430="","",IF($I430&gt;0,$P430/$I430,""))</f>
        <v/>
      </c>
      <c r="R430" s="127" t="n"/>
    </row>
    <row r="431">
      <c r="B431" s="130" t="n"/>
      <c r="C431" s="100" t="n"/>
      <c r="D431" s="100" t="n"/>
      <c r="E431" s="96">
        <f>IF($D431="","",IFERROR(INDEX(INVENTARIO!$C$7:$C$26,MATCH($D431,INVENTARIO!$B$7:$B$26,0)),"⚠ ID no existe"))</f>
        <v/>
      </c>
      <c r="F431" s="128" t="n"/>
      <c r="G431" s="129" t="n"/>
      <c r="H431" s="112">
        <f>IF($D431="","",IF($G431="",IFERROR(INDEX(INVENTARIO!$N$7:$N$26,MATCH($D431,INVENTARIO!$B$7:$B$26,0)),""),$G431))</f>
        <v/>
      </c>
      <c r="I431" s="114">
        <f>IF($D431="","",N($F431)*IF(ISNUMBER($H431),$H431,0))</f>
        <v/>
      </c>
      <c r="J431" s="115">
        <f>IF($D431="","",IFERROR(IF(INDEX(INVENTARIO!$O$7:$O$26,MATCH($D431,INVENTARIO!$B$7:$B$26,0))="",CFG_WALMART,INDEX(INVENTARIO!$O$7:$O$26,MATCH($D431,INVENTARIO!$B$7:$B$26,0))),CFG_WALMART))</f>
        <v/>
      </c>
      <c r="K431" s="112">
        <f>IF($D431="","",$I431*$J431)</f>
        <v/>
      </c>
      <c r="L431" s="129" t="n"/>
      <c r="M431" s="114">
        <f>IF($D431="","",$I431-$K431-N($L431))</f>
        <v/>
      </c>
      <c r="N431" s="113">
        <f>IF($D431="","",IFERROR(INDEX(INVENTARIO!$L$7:$L$26,MATCH($D431,INVENTARIO!$B$7:$B$26,0))*1,0))</f>
        <v/>
      </c>
      <c r="O431" s="112">
        <f>IF($D431="","",N($F431)*$N431)</f>
        <v/>
      </c>
      <c r="P431" s="114">
        <f>IF($D431="","",$M431-$O431)</f>
        <v/>
      </c>
      <c r="Q431" s="115">
        <f>IF($D431="","",IF($I431&gt;0,$P431/$I431,""))</f>
        <v/>
      </c>
      <c r="R431" s="127" t="n"/>
    </row>
    <row r="432">
      <c r="B432" s="130" t="n"/>
      <c r="C432" s="100" t="n"/>
      <c r="D432" s="100" t="n"/>
      <c r="E432" s="96">
        <f>IF($D432="","",IFERROR(INDEX(INVENTARIO!$C$7:$C$26,MATCH($D432,INVENTARIO!$B$7:$B$26,0)),"⚠ ID no existe"))</f>
        <v/>
      </c>
      <c r="F432" s="128" t="n"/>
      <c r="G432" s="129" t="n"/>
      <c r="H432" s="112">
        <f>IF($D432="","",IF($G432="",IFERROR(INDEX(INVENTARIO!$N$7:$N$26,MATCH($D432,INVENTARIO!$B$7:$B$26,0)),""),$G432))</f>
        <v/>
      </c>
      <c r="I432" s="114">
        <f>IF($D432="","",N($F432)*IF(ISNUMBER($H432),$H432,0))</f>
        <v/>
      </c>
      <c r="J432" s="115">
        <f>IF($D432="","",IFERROR(IF(INDEX(INVENTARIO!$O$7:$O$26,MATCH($D432,INVENTARIO!$B$7:$B$26,0))="",CFG_WALMART,INDEX(INVENTARIO!$O$7:$O$26,MATCH($D432,INVENTARIO!$B$7:$B$26,0))),CFG_WALMART))</f>
        <v/>
      </c>
      <c r="K432" s="112">
        <f>IF($D432="","",$I432*$J432)</f>
        <v/>
      </c>
      <c r="L432" s="129" t="n"/>
      <c r="M432" s="114">
        <f>IF($D432="","",$I432-$K432-N($L432))</f>
        <v/>
      </c>
      <c r="N432" s="113">
        <f>IF($D432="","",IFERROR(INDEX(INVENTARIO!$L$7:$L$26,MATCH($D432,INVENTARIO!$B$7:$B$26,0))*1,0))</f>
        <v/>
      </c>
      <c r="O432" s="112">
        <f>IF($D432="","",N($F432)*$N432)</f>
        <v/>
      </c>
      <c r="P432" s="114">
        <f>IF($D432="","",$M432-$O432)</f>
        <v/>
      </c>
      <c r="Q432" s="115">
        <f>IF($D432="","",IF($I432&gt;0,$P432/$I432,""))</f>
        <v/>
      </c>
      <c r="R432" s="127" t="n"/>
    </row>
    <row r="433">
      <c r="B433" s="130" t="n"/>
      <c r="C433" s="100" t="n"/>
      <c r="D433" s="100" t="n"/>
      <c r="E433" s="96">
        <f>IF($D433="","",IFERROR(INDEX(INVENTARIO!$C$7:$C$26,MATCH($D433,INVENTARIO!$B$7:$B$26,0)),"⚠ ID no existe"))</f>
        <v/>
      </c>
      <c r="F433" s="128" t="n"/>
      <c r="G433" s="129" t="n"/>
      <c r="H433" s="112">
        <f>IF($D433="","",IF($G433="",IFERROR(INDEX(INVENTARIO!$N$7:$N$26,MATCH($D433,INVENTARIO!$B$7:$B$26,0)),""),$G433))</f>
        <v/>
      </c>
      <c r="I433" s="114">
        <f>IF($D433="","",N($F433)*IF(ISNUMBER($H433),$H433,0))</f>
        <v/>
      </c>
      <c r="J433" s="115">
        <f>IF($D433="","",IFERROR(IF(INDEX(INVENTARIO!$O$7:$O$26,MATCH($D433,INVENTARIO!$B$7:$B$26,0))="",CFG_WALMART,INDEX(INVENTARIO!$O$7:$O$26,MATCH($D433,INVENTARIO!$B$7:$B$26,0))),CFG_WALMART))</f>
        <v/>
      </c>
      <c r="K433" s="112">
        <f>IF($D433="","",$I433*$J433)</f>
        <v/>
      </c>
      <c r="L433" s="129" t="n"/>
      <c r="M433" s="114">
        <f>IF($D433="","",$I433-$K433-N($L433))</f>
        <v/>
      </c>
      <c r="N433" s="113">
        <f>IF($D433="","",IFERROR(INDEX(INVENTARIO!$L$7:$L$26,MATCH($D433,INVENTARIO!$B$7:$B$26,0))*1,0))</f>
        <v/>
      </c>
      <c r="O433" s="112">
        <f>IF($D433="","",N($F433)*$N433)</f>
        <v/>
      </c>
      <c r="P433" s="114">
        <f>IF($D433="","",$M433-$O433)</f>
        <v/>
      </c>
      <c r="Q433" s="115">
        <f>IF($D433="","",IF($I433&gt;0,$P433/$I433,""))</f>
        <v/>
      </c>
      <c r="R433" s="127" t="n"/>
    </row>
    <row r="434">
      <c r="B434" s="130" t="n"/>
      <c r="C434" s="100" t="n"/>
      <c r="D434" s="100" t="n"/>
      <c r="E434" s="96">
        <f>IF($D434="","",IFERROR(INDEX(INVENTARIO!$C$7:$C$26,MATCH($D434,INVENTARIO!$B$7:$B$26,0)),"⚠ ID no existe"))</f>
        <v/>
      </c>
      <c r="F434" s="128" t="n"/>
      <c r="G434" s="129" t="n"/>
      <c r="H434" s="112">
        <f>IF($D434="","",IF($G434="",IFERROR(INDEX(INVENTARIO!$N$7:$N$26,MATCH($D434,INVENTARIO!$B$7:$B$26,0)),""),$G434))</f>
        <v/>
      </c>
      <c r="I434" s="114">
        <f>IF($D434="","",N($F434)*IF(ISNUMBER($H434),$H434,0))</f>
        <v/>
      </c>
      <c r="J434" s="115">
        <f>IF($D434="","",IFERROR(IF(INDEX(INVENTARIO!$O$7:$O$26,MATCH($D434,INVENTARIO!$B$7:$B$26,0))="",CFG_WALMART,INDEX(INVENTARIO!$O$7:$O$26,MATCH($D434,INVENTARIO!$B$7:$B$26,0))),CFG_WALMART))</f>
        <v/>
      </c>
      <c r="K434" s="112">
        <f>IF($D434="","",$I434*$J434)</f>
        <v/>
      </c>
      <c r="L434" s="129" t="n"/>
      <c r="M434" s="114">
        <f>IF($D434="","",$I434-$K434-N($L434))</f>
        <v/>
      </c>
      <c r="N434" s="113">
        <f>IF($D434="","",IFERROR(INDEX(INVENTARIO!$L$7:$L$26,MATCH($D434,INVENTARIO!$B$7:$B$26,0))*1,0))</f>
        <v/>
      </c>
      <c r="O434" s="112">
        <f>IF($D434="","",N($F434)*$N434)</f>
        <v/>
      </c>
      <c r="P434" s="114">
        <f>IF($D434="","",$M434-$O434)</f>
        <v/>
      </c>
      <c r="Q434" s="115">
        <f>IF($D434="","",IF($I434&gt;0,$P434/$I434,""))</f>
        <v/>
      </c>
      <c r="R434" s="127" t="n"/>
    </row>
    <row r="435">
      <c r="B435" s="130" t="n"/>
      <c r="C435" s="100" t="n"/>
      <c r="D435" s="100" t="n"/>
      <c r="E435" s="96">
        <f>IF($D435="","",IFERROR(INDEX(INVENTARIO!$C$7:$C$26,MATCH($D435,INVENTARIO!$B$7:$B$26,0)),"⚠ ID no existe"))</f>
        <v/>
      </c>
      <c r="F435" s="128" t="n"/>
      <c r="G435" s="129" t="n"/>
      <c r="H435" s="112">
        <f>IF($D435="","",IF($G435="",IFERROR(INDEX(INVENTARIO!$N$7:$N$26,MATCH($D435,INVENTARIO!$B$7:$B$26,0)),""),$G435))</f>
        <v/>
      </c>
      <c r="I435" s="114">
        <f>IF($D435="","",N($F435)*IF(ISNUMBER($H435),$H435,0))</f>
        <v/>
      </c>
      <c r="J435" s="115">
        <f>IF($D435="","",IFERROR(IF(INDEX(INVENTARIO!$O$7:$O$26,MATCH($D435,INVENTARIO!$B$7:$B$26,0))="",CFG_WALMART,INDEX(INVENTARIO!$O$7:$O$26,MATCH($D435,INVENTARIO!$B$7:$B$26,0))),CFG_WALMART))</f>
        <v/>
      </c>
      <c r="K435" s="112">
        <f>IF($D435="","",$I435*$J435)</f>
        <v/>
      </c>
      <c r="L435" s="129" t="n"/>
      <c r="M435" s="114">
        <f>IF($D435="","",$I435-$K435-N($L435))</f>
        <v/>
      </c>
      <c r="N435" s="113">
        <f>IF($D435="","",IFERROR(INDEX(INVENTARIO!$L$7:$L$26,MATCH($D435,INVENTARIO!$B$7:$B$26,0))*1,0))</f>
        <v/>
      </c>
      <c r="O435" s="112">
        <f>IF($D435="","",N($F435)*$N435)</f>
        <v/>
      </c>
      <c r="P435" s="114">
        <f>IF($D435="","",$M435-$O435)</f>
        <v/>
      </c>
      <c r="Q435" s="115">
        <f>IF($D435="","",IF($I435&gt;0,$P435/$I435,""))</f>
        <v/>
      </c>
      <c r="R435" s="127" t="n"/>
    </row>
    <row r="436">
      <c r="B436" s="130" t="n"/>
      <c r="C436" s="100" t="n"/>
      <c r="D436" s="100" t="n"/>
      <c r="E436" s="96">
        <f>IF($D436="","",IFERROR(INDEX(INVENTARIO!$C$7:$C$26,MATCH($D436,INVENTARIO!$B$7:$B$26,0)),"⚠ ID no existe"))</f>
        <v/>
      </c>
      <c r="F436" s="128" t="n"/>
      <c r="G436" s="129" t="n"/>
      <c r="H436" s="112">
        <f>IF($D436="","",IF($G436="",IFERROR(INDEX(INVENTARIO!$N$7:$N$26,MATCH($D436,INVENTARIO!$B$7:$B$26,0)),""),$G436))</f>
        <v/>
      </c>
      <c r="I436" s="114">
        <f>IF($D436="","",N($F436)*IF(ISNUMBER($H436),$H436,0))</f>
        <v/>
      </c>
      <c r="J436" s="115">
        <f>IF($D436="","",IFERROR(IF(INDEX(INVENTARIO!$O$7:$O$26,MATCH($D436,INVENTARIO!$B$7:$B$26,0))="",CFG_WALMART,INDEX(INVENTARIO!$O$7:$O$26,MATCH($D436,INVENTARIO!$B$7:$B$26,0))),CFG_WALMART))</f>
        <v/>
      </c>
      <c r="K436" s="112">
        <f>IF($D436="","",$I436*$J436)</f>
        <v/>
      </c>
      <c r="L436" s="129" t="n"/>
      <c r="M436" s="114">
        <f>IF($D436="","",$I436-$K436-N($L436))</f>
        <v/>
      </c>
      <c r="N436" s="113">
        <f>IF($D436="","",IFERROR(INDEX(INVENTARIO!$L$7:$L$26,MATCH($D436,INVENTARIO!$B$7:$B$26,0))*1,0))</f>
        <v/>
      </c>
      <c r="O436" s="112">
        <f>IF($D436="","",N($F436)*$N436)</f>
        <v/>
      </c>
      <c r="P436" s="114">
        <f>IF($D436="","",$M436-$O436)</f>
        <v/>
      </c>
      <c r="Q436" s="115">
        <f>IF($D436="","",IF($I436&gt;0,$P436/$I436,""))</f>
        <v/>
      </c>
      <c r="R436" s="127" t="n"/>
    </row>
    <row r="437">
      <c r="B437" s="130" t="n"/>
      <c r="C437" s="100" t="n"/>
      <c r="D437" s="100" t="n"/>
      <c r="E437" s="96">
        <f>IF($D437="","",IFERROR(INDEX(INVENTARIO!$C$7:$C$26,MATCH($D437,INVENTARIO!$B$7:$B$26,0)),"⚠ ID no existe"))</f>
        <v/>
      </c>
      <c r="F437" s="128" t="n"/>
      <c r="G437" s="129" t="n"/>
      <c r="H437" s="112">
        <f>IF($D437="","",IF($G437="",IFERROR(INDEX(INVENTARIO!$N$7:$N$26,MATCH($D437,INVENTARIO!$B$7:$B$26,0)),""),$G437))</f>
        <v/>
      </c>
      <c r="I437" s="114">
        <f>IF($D437="","",N($F437)*IF(ISNUMBER($H437),$H437,0))</f>
        <v/>
      </c>
      <c r="J437" s="115">
        <f>IF($D437="","",IFERROR(IF(INDEX(INVENTARIO!$O$7:$O$26,MATCH($D437,INVENTARIO!$B$7:$B$26,0))="",CFG_WALMART,INDEX(INVENTARIO!$O$7:$O$26,MATCH($D437,INVENTARIO!$B$7:$B$26,0))),CFG_WALMART))</f>
        <v/>
      </c>
      <c r="K437" s="112">
        <f>IF($D437="","",$I437*$J437)</f>
        <v/>
      </c>
      <c r="L437" s="129" t="n"/>
      <c r="M437" s="114">
        <f>IF($D437="","",$I437-$K437-N($L437))</f>
        <v/>
      </c>
      <c r="N437" s="113">
        <f>IF($D437="","",IFERROR(INDEX(INVENTARIO!$L$7:$L$26,MATCH($D437,INVENTARIO!$B$7:$B$26,0))*1,0))</f>
        <v/>
      </c>
      <c r="O437" s="112">
        <f>IF($D437="","",N($F437)*$N437)</f>
        <v/>
      </c>
      <c r="P437" s="114">
        <f>IF($D437="","",$M437-$O437)</f>
        <v/>
      </c>
      <c r="Q437" s="115">
        <f>IF($D437="","",IF($I437&gt;0,$P437/$I437,""))</f>
        <v/>
      </c>
      <c r="R437" s="127" t="n"/>
    </row>
    <row r="438">
      <c r="B438" s="130" t="n"/>
      <c r="C438" s="100" t="n"/>
      <c r="D438" s="100" t="n"/>
      <c r="E438" s="96">
        <f>IF($D438="","",IFERROR(INDEX(INVENTARIO!$C$7:$C$26,MATCH($D438,INVENTARIO!$B$7:$B$26,0)),"⚠ ID no existe"))</f>
        <v/>
      </c>
      <c r="F438" s="128" t="n"/>
      <c r="G438" s="129" t="n"/>
      <c r="H438" s="112">
        <f>IF($D438="","",IF($G438="",IFERROR(INDEX(INVENTARIO!$N$7:$N$26,MATCH($D438,INVENTARIO!$B$7:$B$26,0)),""),$G438))</f>
        <v/>
      </c>
      <c r="I438" s="114">
        <f>IF($D438="","",N($F438)*IF(ISNUMBER($H438),$H438,0))</f>
        <v/>
      </c>
      <c r="J438" s="115">
        <f>IF($D438="","",IFERROR(IF(INDEX(INVENTARIO!$O$7:$O$26,MATCH($D438,INVENTARIO!$B$7:$B$26,0))="",CFG_WALMART,INDEX(INVENTARIO!$O$7:$O$26,MATCH($D438,INVENTARIO!$B$7:$B$26,0))),CFG_WALMART))</f>
        <v/>
      </c>
      <c r="K438" s="112">
        <f>IF($D438="","",$I438*$J438)</f>
        <v/>
      </c>
      <c r="L438" s="129" t="n"/>
      <c r="M438" s="114">
        <f>IF($D438="","",$I438-$K438-N($L438))</f>
        <v/>
      </c>
      <c r="N438" s="113">
        <f>IF($D438="","",IFERROR(INDEX(INVENTARIO!$L$7:$L$26,MATCH($D438,INVENTARIO!$B$7:$B$26,0))*1,0))</f>
        <v/>
      </c>
      <c r="O438" s="112">
        <f>IF($D438="","",N($F438)*$N438)</f>
        <v/>
      </c>
      <c r="P438" s="114">
        <f>IF($D438="","",$M438-$O438)</f>
        <v/>
      </c>
      <c r="Q438" s="115">
        <f>IF($D438="","",IF($I438&gt;0,$P438/$I438,""))</f>
        <v/>
      </c>
      <c r="R438" s="127" t="n"/>
    </row>
    <row r="439">
      <c r="B439" s="130" t="n"/>
      <c r="C439" s="100" t="n"/>
      <c r="D439" s="100" t="n"/>
      <c r="E439" s="96">
        <f>IF($D439="","",IFERROR(INDEX(INVENTARIO!$C$7:$C$26,MATCH($D439,INVENTARIO!$B$7:$B$26,0)),"⚠ ID no existe"))</f>
        <v/>
      </c>
      <c r="F439" s="128" t="n"/>
      <c r="G439" s="129" t="n"/>
      <c r="H439" s="112">
        <f>IF($D439="","",IF($G439="",IFERROR(INDEX(INVENTARIO!$N$7:$N$26,MATCH($D439,INVENTARIO!$B$7:$B$26,0)),""),$G439))</f>
        <v/>
      </c>
      <c r="I439" s="114">
        <f>IF($D439="","",N($F439)*IF(ISNUMBER($H439),$H439,0))</f>
        <v/>
      </c>
      <c r="J439" s="115">
        <f>IF($D439="","",IFERROR(IF(INDEX(INVENTARIO!$O$7:$O$26,MATCH($D439,INVENTARIO!$B$7:$B$26,0))="",CFG_WALMART,INDEX(INVENTARIO!$O$7:$O$26,MATCH($D439,INVENTARIO!$B$7:$B$26,0))),CFG_WALMART))</f>
        <v/>
      </c>
      <c r="K439" s="112">
        <f>IF($D439="","",$I439*$J439)</f>
        <v/>
      </c>
      <c r="L439" s="129" t="n"/>
      <c r="M439" s="114">
        <f>IF($D439="","",$I439-$K439-N($L439))</f>
        <v/>
      </c>
      <c r="N439" s="113">
        <f>IF($D439="","",IFERROR(INDEX(INVENTARIO!$L$7:$L$26,MATCH($D439,INVENTARIO!$B$7:$B$26,0))*1,0))</f>
        <v/>
      </c>
      <c r="O439" s="112">
        <f>IF($D439="","",N($F439)*$N439)</f>
        <v/>
      </c>
      <c r="P439" s="114">
        <f>IF($D439="","",$M439-$O439)</f>
        <v/>
      </c>
      <c r="Q439" s="115">
        <f>IF($D439="","",IF($I439&gt;0,$P439/$I439,""))</f>
        <v/>
      </c>
      <c r="R439" s="127" t="n"/>
    </row>
    <row r="440">
      <c r="B440" s="130" t="n"/>
      <c r="C440" s="100" t="n"/>
      <c r="D440" s="100" t="n"/>
      <c r="E440" s="96">
        <f>IF($D440="","",IFERROR(INDEX(INVENTARIO!$C$7:$C$26,MATCH($D440,INVENTARIO!$B$7:$B$26,0)),"⚠ ID no existe"))</f>
        <v/>
      </c>
      <c r="F440" s="128" t="n"/>
      <c r="G440" s="129" t="n"/>
      <c r="H440" s="112">
        <f>IF($D440="","",IF($G440="",IFERROR(INDEX(INVENTARIO!$N$7:$N$26,MATCH($D440,INVENTARIO!$B$7:$B$26,0)),""),$G440))</f>
        <v/>
      </c>
      <c r="I440" s="114">
        <f>IF($D440="","",N($F440)*IF(ISNUMBER($H440),$H440,0))</f>
        <v/>
      </c>
      <c r="J440" s="115">
        <f>IF($D440="","",IFERROR(IF(INDEX(INVENTARIO!$O$7:$O$26,MATCH($D440,INVENTARIO!$B$7:$B$26,0))="",CFG_WALMART,INDEX(INVENTARIO!$O$7:$O$26,MATCH($D440,INVENTARIO!$B$7:$B$26,0))),CFG_WALMART))</f>
        <v/>
      </c>
      <c r="K440" s="112">
        <f>IF($D440="","",$I440*$J440)</f>
        <v/>
      </c>
      <c r="L440" s="129" t="n"/>
      <c r="M440" s="114">
        <f>IF($D440="","",$I440-$K440-N($L440))</f>
        <v/>
      </c>
      <c r="N440" s="113">
        <f>IF($D440="","",IFERROR(INDEX(INVENTARIO!$L$7:$L$26,MATCH($D440,INVENTARIO!$B$7:$B$26,0))*1,0))</f>
        <v/>
      </c>
      <c r="O440" s="112">
        <f>IF($D440="","",N($F440)*$N440)</f>
        <v/>
      </c>
      <c r="P440" s="114">
        <f>IF($D440="","",$M440-$O440)</f>
        <v/>
      </c>
      <c r="Q440" s="115">
        <f>IF($D440="","",IF($I440&gt;0,$P440/$I440,""))</f>
        <v/>
      </c>
      <c r="R440" s="127" t="n"/>
    </row>
    <row r="441">
      <c r="B441" s="130" t="n"/>
      <c r="C441" s="100" t="n"/>
      <c r="D441" s="100" t="n"/>
      <c r="E441" s="96">
        <f>IF($D441="","",IFERROR(INDEX(INVENTARIO!$C$7:$C$26,MATCH($D441,INVENTARIO!$B$7:$B$26,0)),"⚠ ID no existe"))</f>
        <v/>
      </c>
      <c r="F441" s="128" t="n"/>
      <c r="G441" s="129" t="n"/>
      <c r="H441" s="112">
        <f>IF($D441="","",IF($G441="",IFERROR(INDEX(INVENTARIO!$N$7:$N$26,MATCH($D441,INVENTARIO!$B$7:$B$26,0)),""),$G441))</f>
        <v/>
      </c>
      <c r="I441" s="114">
        <f>IF($D441="","",N($F441)*IF(ISNUMBER($H441),$H441,0))</f>
        <v/>
      </c>
      <c r="J441" s="115">
        <f>IF($D441="","",IFERROR(IF(INDEX(INVENTARIO!$O$7:$O$26,MATCH($D441,INVENTARIO!$B$7:$B$26,0))="",CFG_WALMART,INDEX(INVENTARIO!$O$7:$O$26,MATCH($D441,INVENTARIO!$B$7:$B$26,0))),CFG_WALMART))</f>
        <v/>
      </c>
      <c r="K441" s="112">
        <f>IF($D441="","",$I441*$J441)</f>
        <v/>
      </c>
      <c r="L441" s="129" t="n"/>
      <c r="M441" s="114">
        <f>IF($D441="","",$I441-$K441-N($L441))</f>
        <v/>
      </c>
      <c r="N441" s="113">
        <f>IF($D441="","",IFERROR(INDEX(INVENTARIO!$L$7:$L$26,MATCH($D441,INVENTARIO!$B$7:$B$26,0))*1,0))</f>
        <v/>
      </c>
      <c r="O441" s="112">
        <f>IF($D441="","",N($F441)*$N441)</f>
        <v/>
      </c>
      <c r="P441" s="114">
        <f>IF($D441="","",$M441-$O441)</f>
        <v/>
      </c>
      <c r="Q441" s="115">
        <f>IF($D441="","",IF($I441&gt;0,$P441/$I441,""))</f>
        <v/>
      </c>
      <c r="R441" s="127" t="n"/>
    </row>
    <row r="442">
      <c r="B442" s="130" t="n"/>
      <c r="C442" s="100" t="n"/>
      <c r="D442" s="100" t="n"/>
      <c r="E442" s="96">
        <f>IF($D442="","",IFERROR(INDEX(INVENTARIO!$C$7:$C$26,MATCH($D442,INVENTARIO!$B$7:$B$26,0)),"⚠ ID no existe"))</f>
        <v/>
      </c>
      <c r="F442" s="128" t="n"/>
      <c r="G442" s="129" t="n"/>
      <c r="H442" s="112">
        <f>IF($D442="","",IF($G442="",IFERROR(INDEX(INVENTARIO!$N$7:$N$26,MATCH($D442,INVENTARIO!$B$7:$B$26,0)),""),$G442))</f>
        <v/>
      </c>
      <c r="I442" s="114">
        <f>IF($D442="","",N($F442)*IF(ISNUMBER($H442),$H442,0))</f>
        <v/>
      </c>
      <c r="J442" s="115">
        <f>IF($D442="","",IFERROR(IF(INDEX(INVENTARIO!$O$7:$O$26,MATCH($D442,INVENTARIO!$B$7:$B$26,0))="",CFG_WALMART,INDEX(INVENTARIO!$O$7:$O$26,MATCH($D442,INVENTARIO!$B$7:$B$26,0))),CFG_WALMART))</f>
        <v/>
      </c>
      <c r="K442" s="112">
        <f>IF($D442="","",$I442*$J442)</f>
        <v/>
      </c>
      <c r="L442" s="129" t="n"/>
      <c r="M442" s="114">
        <f>IF($D442="","",$I442-$K442-N($L442))</f>
        <v/>
      </c>
      <c r="N442" s="113">
        <f>IF($D442="","",IFERROR(INDEX(INVENTARIO!$L$7:$L$26,MATCH($D442,INVENTARIO!$B$7:$B$26,0))*1,0))</f>
        <v/>
      </c>
      <c r="O442" s="112">
        <f>IF($D442="","",N($F442)*$N442)</f>
        <v/>
      </c>
      <c r="P442" s="114">
        <f>IF($D442="","",$M442-$O442)</f>
        <v/>
      </c>
      <c r="Q442" s="115">
        <f>IF($D442="","",IF($I442&gt;0,$P442/$I442,""))</f>
        <v/>
      </c>
      <c r="R442" s="127" t="n"/>
    </row>
    <row r="443">
      <c r="B443" s="130" t="n"/>
      <c r="C443" s="100" t="n"/>
      <c r="D443" s="100" t="n"/>
      <c r="E443" s="96">
        <f>IF($D443="","",IFERROR(INDEX(INVENTARIO!$C$7:$C$26,MATCH($D443,INVENTARIO!$B$7:$B$26,0)),"⚠ ID no existe"))</f>
        <v/>
      </c>
      <c r="F443" s="128" t="n"/>
      <c r="G443" s="129" t="n"/>
      <c r="H443" s="112">
        <f>IF($D443="","",IF($G443="",IFERROR(INDEX(INVENTARIO!$N$7:$N$26,MATCH($D443,INVENTARIO!$B$7:$B$26,0)),""),$G443))</f>
        <v/>
      </c>
      <c r="I443" s="114">
        <f>IF($D443="","",N($F443)*IF(ISNUMBER($H443),$H443,0))</f>
        <v/>
      </c>
      <c r="J443" s="115">
        <f>IF($D443="","",IFERROR(IF(INDEX(INVENTARIO!$O$7:$O$26,MATCH($D443,INVENTARIO!$B$7:$B$26,0))="",CFG_WALMART,INDEX(INVENTARIO!$O$7:$O$26,MATCH($D443,INVENTARIO!$B$7:$B$26,0))),CFG_WALMART))</f>
        <v/>
      </c>
      <c r="K443" s="112">
        <f>IF($D443="","",$I443*$J443)</f>
        <v/>
      </c>
      <c r="L443" s="129" t="n"/>
      <c r="M443" s="114">
        <f>IF($D443="","",$I443-$K443-N($L443))</f>
        <v/>
      </c>
      <c r="N443" s="113">
        <f>IF($D443="","",IFERROR(INDEX(INVENTARIO!$L$7:$L$26,MATCH($D443,INVENTARIO!$B$7:$B$26,0))*1,0))</f>
        <v/>
      </c>
      <c r="O443" s="112">
        <f>IF($D443="","",N($F443)*$N443)</f>
        <v/>
      </c>
      <c r="P443" s="114">
        <f>IF($D443="","",$M443-$O443)</f>
        <v/>
      </c>
      <c r="Q443" s="115">
        <f>IF($D443="","",IF($I443&gt;0,$P443/$I443,""))</f>
        <v/>
      </c>
      <c r="R443" s="127" t="n"/>
    </row>
    <row r="444">
      <c r="B444" s="130" t="n"/>
      <c r="C444" s="100" t="n"/>
      <c r="D444" s="100" t="n"/>
      <c r="E444" s="96">
        <f>IF($D444="","",IFERROR(INDEX(INVENTARIO!$C$7:$C$26,MATCH($D444,INVENTARIO!$B$7:$B$26,0)),"⚠ ID no existe"))</f>
        <v/>
      </c>
      <c r="F444" s="128" t="n"/>
      <c r="G444" s="129" t="n"/>
      <c r="H444" s="112">
        <f>IF($D444="","",IF($G444="",IFERROR(INDEX(INVENTARIO!$N$7:$N$26,MATCH($D444,INVENTARIO!$B$7:$B$26,0)),""),$G444))</f>
        <v/>
      </c>
      <c r="I444" s="114">
        <f>IF($D444="","",N($F444)*IF(ISNUMBER($H444),$H444,0))</f>
        <v/>
      </c>
      <c r="J444" s="115">
        <f>IF($D444="","",IFERROR(IF(INDEX(INVENTARIO!$O$7:$O$26,MATCH($D444,INVENTARIO!$B$7:$B$26,0))="",CFG_WALMART,INDEX(INVENTARIO!$O$7:$O$26,MATCH($D444,INVENTARIO!$B$7:$B$26,0))),CFG_WALMART))</f>
        <v/>
      </c>
      <c r="K444" s="112">
        <f>IF($D444="","",$I444*$J444)</f>
        <v/>
      </c>
      <c r="L444" s="129" t="n"/>
      <c r="M444" s="114">
        <f>IF($D444="","",$I444-$K444-N($L444))</f>
        <v/>
      </c>
      <c r="N444" s="113">
        <f>IF($D444="","",IFERROR(INDEX(INVENTARIO!$L$7:$L$26,MATCH($D444,INVENTARIO!$B$7:$B$26,0))*1,0))</f>
        <v/>
      </c>
      <c r="O444" s="112">
        <f>IF($D444="","",N($F444)*$N444)</f>
        <v/>
      </c>
      <c r="P444" s="114">
        <f>IF($D444="","",$M444-$O444)</f>
        <v/>
      </c>
      <c r="Q444" s="115">
        <f>IF($D444="","",IF($I444&gt;0,$P444/$I444,""))</f>
        <v/>
      </c>
      <c r="R444" s="127" t="n"/>
    </row>
    <row r="445">
      <c r="B445" s="130" t="n"/>
      <c r="C445" s="100" t="n"/>
      <c r="D445" s="100" t="n"/>
      <c r="E445" s="96">
        <f>IF($D445="","",IFERROR(INDEX(INVENTARIO!$C$7:$C$26,MATCH($D445,INVENTARIO!$B$7:$B$26,0)),"⚠ ID no existe"))</f>
        <v/>
      </c>
      <c r="F445" s="128" t="n"/>
      <c r="G445" s="129" t="n"/>
      <c r="H445" s="112">
        <f>IF($D445="","",IF($G445="",IFERROR(INDEX(INVENTARIO!$N$7:$N$26,MATCH($D445,INVENTARIO!$B$7:$B$26,0)),""),$G445))</f>
        <v/>
      </c>
      <c r="I445" s="114">
        <f>IF($D445="","",N($F445)*IF(ISNUMBER($H445),$H445,0))</f>
        <v/>
      </c>
      <c r="J445" s="115">
        <f>IF($D445="","",IFERROR(IF(INDEX(INVENTARIO!$O$7:$O$26,MATCH($D445,INVENTARIO!$B$7:$B$26,0))="",CFG_WALMART,INDEX(INVENTARIO!$O$7:$O$26,MATCH($D445,INVENTARIO!$B$7:$B$26,0))),CFG_WALMART))</f>
        <v/>
      </c>
      <c r="K445" s="112">
        <f>IF($D445="","",$I445*$J445)</f>
        <v/>
      </c>
      <c r="L445" s="129" t="n"/>
      <c r="M445" s="114">
        <f>IF($D445="","",$I445-$K445-N($L445))</f>
        <v/>
      </c>
      <c r="N445" s="113">
        <f>IF($D445="","",IFERROR(INDEX(INVENTARIO!$L$7:$L$26,MATCH($D445,INVENTARIO!$B$7:$B$26,0))*1,0))</f>
        <v/>
      </c>
      <c r="O445" s="112">
        <f>IF($D445="","",N($F445)*$N445)</f>
        <v/>
      </c>
      <c r="P445" s="114">
        <f>IF($D445="","",$M445-$O445)</f>
        <v/>
      </c>
      <c r="Q445" s="115">
        <f>IF($D445="","",IF($I445&gt;0,$P445/$I445,""))</f>
        <v/>
      </c>
      <c r="R445" s="127" t="n"/>
    </row>
    <row r="446">
      <c r="B446" s="130" t="n"/>
      <c r="C446" s="100" t="n"/>
      <c r="D446" s="100" t="n"/>
      <c r="E446" s="96">
        <f>IF($D446="","",IFERROR(INDEX(INVENTARIO!$C$7:$C$26,MATCH($D446,INVENTARIO!$B$7:$B$26,0)),"⚠ ID no existe"))</f>
        <v/>
      </c>
      <c r="F446" s="128" t="n"/>
      <c r="G446" s="129" t="n"/>
      <c r="H446" s="112">
        <f>IF($D446="","",IF($G446="",IFERROR(INDEX(INVENTARIO!$N$7:$N$26,MATCH($D446,INVENTARIO!$B$7:$B$26,0)),""),$G446))</f>
        <v/>
      </c>
      <c r="I446" s="114">
        <f>IF($D446="","",N($F446)*IF(ISNUMBER($H446),$H446,0))</f>
        <v/>
      </c>
      <c r="J446" s="115">
        <f>IF($D446="","",IFERROR(IF(INDEX(INVENTARIO!$O$7:$O$26,MATCH($D446,INVENTARIO!$B$7:$B$26,0))="",CFG_WALMART,INDEX(INVENTARIO!$O$7:$O$26,MATCH($D446,INVENTARIO!$B$7:$B$26,0))),CFG_WALMART))</f>
        <v/>
      </c>
      <c r="K446" s="112">
        <f>IF($D446="","",$I446*$J446)</f>
        <v/>
      </c>
      <c r="L446" s="129" t="n"/>
      <c r="M446" s="114">
        <f>IF($D446="","",$I446-$K446-N($L446))</f>
        <v/>
      </c>
      <c r="N446" s="113">
        <f>IF($D446="","",IFERROR(INDEX(INVENTARIO!$L$7:$L$26,MATCH($D446,INVENTARIO!$B$7:$B$26,0))*1,0))</f>
        <v/>
      </c>
      <c r="O446" s="112">
        <f>IF($D446="","",N($F446)*$N446)</f>
        <v/>
      </c>
      <c r="P446" s="114">
        <f>IF($D446="","",$M446-$O446)</f>
        <v/>
      </c>
      <c r="Q446" s="115">
        <f>IF($D446="","",IF($I446&gt;0,$P446/$I446,""))</f>
        <v/>
      </c>
      <c r="R446" s="127" t="n"/>
    </row>
    <row r="447">
      <c r="B447" s="130" t="n"/>
      <c r="C447" s="100" t="n"/>
      <c r="D447" s="100" t="n"/>
      <c r="E447" s="96">
        <f>IF($D447="","",IFERROR(INDEX(INVENTARIO!$C$7:$C$26,MATCH($D447,INVENTARIO!$B$7:$B$26,0)),"⚠ ID no existe"))</f>
        <v/>
      </c>
      <c r="F447" s="128" t="n"/>
      <c r="G447" s="129" t="n"/>
      <c r="H447" s="112">
        <f>IF($D447="","",IF($G447="",IFERROR(INDEX(INVENTARIO!$N$7:$N$26,MATCH($D447,INVENTARIO!$B$7:$B$26,0)),""),$G447))</f>
        <v/>
      </c>
      <c r="I447" s="114">
        <f>IF($D447="","",N($F447)*IF(ISNUMBER($H447),$H447,0))</f>
        <v/>
      </c>
      <c r="J447" s="115">
        <f>IF($D447="","",IFERROR(IF(INDEX(INVENTARIO!$O$7:$O$26,MATCH($D447,INVENTARIO!$B$7:$B$26,0))="",CFG_WALMART,INDEX(INVENTARIO!$O$7:$O$26,MATCH($D447,INVENTARIO!$B$7:$B$26,0))),CFG_WALMART))</f>
        <v/>
      </c>
      <c r="K447" s="112">
        <f>IF($D447="","",$I447*$J447)</f>
        <v/>
      </c>
      <c r="L447" s="129" t="n"/>
      <c r="M447" s="114">
        <f>IF($D447="","",$I447-$K447-N($L447))</f>
        <v/>
      </c>
      <c r="N447" s="113">
        <f>IF($D447="","",IFERROR(INDEX(INVENTARIO!$L$7:$L$26,MATCH($D447,INVENTARIO!$B$7:$B$26,0))*1,0))</f>
        <v/>
      </c>
      <c r="O447" s="112">
        <f>IF($D447="","",N($F447)*$N447)</f>
        <v/>
      </c>
      <c r="P447" s="114">
        <f>IF($D447="","",$M447-$O447)</f>
        <v/>
      </c>
      <c r="Q447" s="115">
        <f>IF($D447="","",IF($I447&gt;0,$P447/$I447,""))</f>
        <v/>
      </c>
      <c r="R447" s="127" t="n"/>
    </row>
    <row r="448">
      <c r="B448" s="130" t="n"/>
      <c r="C448" s="100" t="n"/>
      <c r="D448" s="100" t="n"/>
      <c r="E448" s="96">
        <f>IF($D448="","",IFERROR(INDEX(INVENTARIO!$C$7:$C$26,MATCH($D448,INVENTARIO!$B$7:$B$26,0)),"⚠ ID no existe"))</f>
        <v/>
      </c>
      <c r="F448" s="128" t="n"/>
      <c r="G448" s="129" t="n"/>
      <c r="H448" s="112">
        <f>IF($D448="","",IF($G448="",IFERROR(INDEX(INVENTARIO!$N$7:$N$26,MATCH($D448,INVENTARIO!$B$7:$B$26,0)),""),$G448))</f>
        <v/>
      </c>
      <c r="I448" s="114">
        <f>IF($D448="","",N($F448)*IF(ISNUMBER($H448),$H448,0))</f>
        <v/>
      </c>
      <c r="J448" s="115">
        <f>IF($D448="","",IFERROR(IF(INDEX(INVENTARIO!$O$7:$O$26,MATCH($D448,INVENTARIO!$B$7:$B$26,0))="",CFG_WALMART,INDEX(INVENTARIO!$O$7:$O$26,MATCH($D448,INVENTARIO!$B$7:$B$26,0))),CFG_WALMART))</f>
        <v/>
      </c>
      <c r="K448" s="112">
        <f>IF($D448="","",$I448*$J448)</f>
        <v/>
      </c>
      <c r="L448" s="129" t="n"/>
      <c r="M448" s="114">
        <f>IF($D448="","",$I448-$K448-N($L448))</f>
        <v/>
      </c>
      <c r="N448" s="113">
        <f>IF($D448="","",IFERROR(INDEX(INVENTARIO!$L$7:$L$26,MATCH($D448,INVENTARIO!$B$7:$B$26,0))*1,0))</f>
        <v/>
      </c>
      <c r="O448" s="112">
        <f>IF($D448="","",N($F448)*$N448)</f>
        <v/>
      </c>
      <c r="P448" s="114">
        <f>IF($D448="","",$M448-$O448)</f>
        <v/>
      </c>
      <c r="Q448" s="115">
        <f>IF($D448="","",IF($I448&gt;0,$P448/$I448,""))</f>
        <v/>
      </c>
      <c r="R448" s="127" t="n"/>
    </row>
    <row r="449">
      <c r="B449" s="130" t="n"/>
      <c r="C449" s="100" t="n"/>
      <c r="D449" s="100" t="n"/>
      <c r="E449" s="96">
        <f>IF($D449="","",IFERROR(INDEX(INVENTARIO!$C$7:$C$26,MATCH($D449,INVENTARIO!$B$7:$B$26,0)),"⚠ ID no existe"))</f>
        <v/>
      </c>
      <c r="F449" s="128" t="n"/>
      <c r="G449" s="129" t="n"/>
      <c r="H449" s="112">
        <f>IF($D449="","",IF($G449="",IFERROR(INDEX(INVENTARIO!$N$7:$N$26,MATCH($D449,INVENTARIO!$B$7:$B$26,0)),""),$G449))</f>
        <v/>
      </c>
      <c r="I449" s="114">
        <f>IF($D449="","",N($F449)*IF(ISNUMBER($H449),$H449,0))</f>
        <v/>
      </c>
      <c r="J449" s="115">
        <f>IF($D449="","",IFERROR(IF(INDEX(INVENTARIO!$O$7:$O$26,MATCH($D449,INVENTARIO!$B$7:$B$26,0))="",CFG_WALMART,INDEX(INVENTARIO!$O$7:$O$26,MATCH($D449,INVENTARIO!$B$7:$B$26,0))),CFG_WALMART))</f>
        <v/>
      </c>
      <c r="K449" s="112">
        <f>IF($D449="","",$I449*$J449)</f>
        <v/>
      </c>
      <c r="L449" s="129" t="n"/>
      <c r="M449" s="114">
        <f>IF($D449="","",$I449-$K449-N($L449))</f>
        <v/>
      </c>
      <c r="N449" s="113">
        <f>IF($D449="","",IFERROR(INDEX(INVENTARIO!$L$7:$L$26,MATCH($D449,INVENTARIO!$B$7:$B$26,0))*1,0))</f>
        <v/>
      </c>
      <c r="O449" s="112">
        <f>IF($D449="","",N($F449)*$N449)</f>
        <v/>
      </c>
      <c r="P449" s="114">
        <f>IF($D449="","",$M449-$O449)</f>
        <v/>
      </c>
      <c r="Q449" s="115">
        <f>IF($D449="","",IF($I449&gt;0,$P449/$I449,""))</f>
        <v/>
      </c>
      <c r="R449" s="127" t="n"/>
    </row>
    <row r="450">
      <c r="B450" s="130" t="n"/>
      <c r="C450" s="100" t="n"/>
      <c r="D450" s="100" t="n"/>
      <c r="E450" s="96">
        <f>IF($D450="","",IFERROR(INDEX(INVENTARIO!$C$7:$C$26,MATCH($D450,INVENTARIO!$B$7:$B$26,0)),"⚠ ID no existe"))</f>
        <v/>
      </c>
      <c r="F450" s="128" t="n"/>
      <c r="G450" s="129" t="n"/>
      <c r="H450" s="112">
        <f>IF($D450="","",IF($G450="",IFERROR(INDEX(INVENTARIO!$N$7:$N$26,MATCH($D450,INVENTARIO!$B$7:$B$26,0)),""),$G450))</f>
        <v/>
      </c>
      <c r="I450" s="114">
        <f>IF($D450="","",N($F450)*IF(ISNUMBER($H450),$H450,0))</f>
        <v/>
      </c>
      <c r="J450" s="115">
        <f>IF($D450="","",IFERROR(IF(INDEX(INVENTARIO!$O$7:$O$26,MATCH($D450,INVENTARIO!$B$7:$B$26,0))="",CFG_WALMART,INDEX(INVENTARIO!$O$7:$O$26,MATCH($D450,INVENTARIO!$B$7:$B$26,0))),CFG_WALMART))</f>
        <v/>
      </c>
      <c r="K450" s="112">
        <f>IF($D450="","",$I450*$J450)</f>
        <v/>
      </c>
      <c r="L450" s="129" t="n"/>
      <c r="M450" s="114">
        <f>IF($D450="","",$I450-$K450-N($L450))</f>
        <v/>
      </c>
      <c r="N450" s="113">
        <f>IF($D450="","",IFERROR(INDEX(INVENTARIO!$L$7:$L$26,MATCH($D450,INVENTARIO!$B$7:$B$26,0))*1,0))</f>
        <v/>
      </c>
      <c r="O450" s="112">
        <f>IF($D450="","",N($F450)*$N450)</f>
        <v/>
      </c>
      <c r="P450" s="114">
        <f>IF($D450="","",$M450-$O450)</f>
        <v/>
      </c>
      <c r="Q450" s="115">
        <f>IF($D450="","",IF($I450&gt;0,$P450/$I450,""))</f>
        <v/>
      </c>
      <c r="R450" s="127" t="n"/>
    </row>
    <row r="451">
      <c r="B451" s="130" t="n"/>
      <c r="C451" s="100" t="n"/>
      <c r="D451" s="100" t="n"/>
      <c r="E451" s="96">
        <f>IF($D451="","",IFERROR(INDEX(INVENTARIO!$C$7:$C$26,MATCH($D451,INVENTARIO!$B$7:$B$26,0)),"⚠ ID no existe"))</f>
        <v/>
      </c>
      <c r="F451" s="128" t="n"/>
      <c r="G451" s="129" t="n"/>
      <c r="H451" s="112">
        <f>IF($D451="","",IF($G451="",IFERROR(INDEX(INVENTARIO!$N$7:$N$26,MATCH($D451,INVENTARIO!$B$7:$B$26,0)),""),$G451))</f>
        <v/>
      </c>
      <c r="I451" s="114">
        <f>IF($D451="","",N($F451)*IF(ISNUMBER($H451),$H451,0))</f>
        <v/>
      </c>
      <c r="J451" s="115">
        <f>IF($D451="","",IFERROR(IF(INDEX(INVENTARIO!$O$7:$O$26,MATCH($D451,INVENTARIO!$B$7:$B$26,0))="",CFG_WALMART,INDEX(INVENTARIO!$O$7:$O$26,MATCH($D451,INVENTARIO!$B$7:$B$26,0))),CFG_WALMART))</f>
        <v/>
      </c>
      <c r="K451" s="112">
        <f>IF($D451="","",$I451*$J451)</f>
        <v/>
      </c>
      <c r="L451" s="129" t="n"/>
      <c r="M451" s="114">
        <f>IF($D451="","",$I451-$K451-N($L451))</f>
        <v/>
      </c>
      <c r="N451" s="113">
        <f>IF($D451="","",IFERROR(INDEX(INVENTARIO!$L$7:$L$26,MATCH($D451,INVENTARIO!$B$7:$B$26,0))*1,0))</f>
        <v/>
      </c>
      <c r="O451" s="112">
        <f>IF($D451="","",N($F451)*$N451)</f>
        <v/>
      </c>
      <c r="P451" s="114">
        <f>IF($D451="","",$M451-$O451)</f>
        <v/>
      </c>
      <c r="Q451" s="115">
        <f>IF($D451="","",IF($I451&gt;0,$P451/$I451,""))</f>
        <v/>
      </c>
      <c r="R451" s="127" t="n"/>
    </row>
    <row r="452">
      <c r="B452" s="130" t="n"/>
      <c r="C452" s="100" t="n"/>
      <c r="D452" s="100" t="n"/>
      <c r="E452" s="96">
        <f>IF($D452="","",IFERROR(INDEX(INVENTARIO!$C$7:$C$26,MATCH($D452,INVENTARIO!$B$7:$B$26,0)),"⚠ ID no existe"))</f>
        <v/>
      </c>
      <c r="F452" s="128" t="n"/>
      <c r="G452" s="129" t="n"/>
      <c r="H452" s="112">
        <f>IF($D452="","",IF($G452="",IFERROR(INDEX(INVENTARIO!$N$7:$N$26,MATCH($D452,INVENTARIO!$B$7:$B$26,0)),""),$G452))</f>
        <v/>
      </c>
      <c r="I452" s="114">
        <f>IF($D452="","",N($F452)*IF(ISNUMBER($H452),$H452,0))</f>
        <v/>
      </c>
      <c r="J452" s="115">
        <f>IF($D452="","",IFERROR(IF(INDEX(INVENTARIO!$O$7:$O$26,MATCH($D452,INVENTARIO!$B$7:$B$26,0))="",CFG_WALMART,INDEX(INVENTARIO!$O$7:$O$26,MATCH($D452,INVENTARIO!$B$7:$B$26,0))),CFG_WALMART))</f>
        <v/>
      </c>
      <c r="K452" s="112">
        <f>IF($D452="","",$I452*$J452)</f>
        <v/>
      </c>
      <c r="L452" s="129" t="n"/>
      <c r="M452" s="114">
        <f>IF($D452="","",$I452-$K452-N($L452))</f>
        <v/>
      </c>
      <c r="N452" s="113">
        <f>IF($D452="","",IFERROR(INDEX(INVENTARIO!$L$7:$L$26,MATCH($D452,INVENTARIO!$B$7:$B$26,0))*1,0))</f>
        <v/>
      </c>
      <c r="O452" s="112">
        <f>IF($D452="","",N($F452)*$N452)</f>
        <v/>
      </c>
      <c r="P452" s="114">
        <f>IF($D452="","",$M452-$O452)</f>
        <v/>
      </c>
      <c r="Q452" s="115">
        <f>IF($D452="","",IF($I452&gt;0,$P452/$I452,""))</f>
        <v/>
      </c>
      <c r="R452" s="127" t="n"/>
    </row>
    <row r="453">
      <c r="B453" s="130" t="n"/>
      <c r="C453" s="100" t="n"/>
      <c r="D453" s="100" t="n"/>
      <c r="E453" s="96">
        <f>IF($D453="","",IFERROR(INDEX(INVENTARIO!$C$7:$C$26,MATCH($D453,INVENTARIO!$B$7:$B$26,0)),"⚠ ID no existe"))</f>
        <v/>
      </c>
      <c r="F453" s="128" t="n"/>
      <c r="G453" s="129" t="n"/>
      <c r="H453" s="112">
        <f>IF($D453="","",IF($G453="",IFERROR(INDEX(INVENTARIO!$N$7:$N$26,MATCH($D453,INVENTARIO!$B$7:$B$26,0)),""),$G453))</f>
        <v/>
      </c>
      <c r="I453" s="114">
        <f>IF($D453="","",N($F453)*IF(ISNUMBER($H453),$H453,0))</f>
        <v/>
      </c>
      <c r="J453" s="115">
        <f>IF($D453="","",IFERROR(IF(INDEX(INVENTARIO!$O$7:$O$26,MATCH($D453,INVENTARIO!$B$7:$B$26,0))="",CFG_WALMART,INDEX(INVENTARIO!$O$7:$O$26,MATCH($D453,INVENTARIO!$B$7:$B$26,0))),CFG_WALMART))</f>
        <v/>
      </c>
      <c r="K453" s="112">
        <f>IF($D453="","",$I453*$J453)</f>
        <v/>
      </c>
      <c r="L453" s="129" t="n"/>
      <c r="M453" s="114">
        <f>IF($D453="","",$I453-$K453-N($L453))</f>
        <v/>
      </c>
      <c r="N453" s="113">
        <f>IF($D453="","",IFERROR(INDEX(INVENTARIO!$L$7:$L$26,MATCH($D453,INVENTARIO!$B$7:$B$26,0))*1,0))</f>
        <v/>
      </c>
      <c r="O453" s="112">
        <f>IF($D453="","",N($F453)*$N453)</f>
        <v/>
      </c>
      <c r="P453" s="114">
        <f>IF($D453="","",$M453-$O453)</f>
        <v/>
      </c>
      <c r="Q453" s="115">
        <f>IF($D453="","",IF($I453&gt;0,$P453/$I453,""))</f>
        <v/>
      </c>
      <c r="R453" s="127" t="n"/>
    </row>
    <row r="454">
      <c r="B454" s="130" t="n"/>
      <c r="C454" s="100" t="n"/>
      <c r="D454" s="100" t="n"/>
      <c r="E454" s="96">
        <f>IF($D454="","",IFERROR(INDEX(INVENTARIO!$C$7:$C$26,MATCH($D454,INVENTARIO!$B$7:$B$26,0)),"⚠ ID no existe"))</f>
        <v/>
      </c>
      <c r="F454" s="128" t="n"/>
      <c r="G454" s="129" t="n"/>
      <c r="H454" s="112">
        <f>IF($D454="","",IF($G454="",IFERROR(INDEX(INVENTARIO!$N$7:$N$26,MATCH($D454,INVENTARIO!$B$7:$B$26,0)),""),$G454))</f>
        <v/>
      </c>
      <c r="I454" s="114">
        <f>IF($D454="","",N($F454)*IF(ISNUMBER($H454),$H454,0))</f>
        <v/>
      </c>
      <c r="J454" s="115">
        <f>IF($D454="","",IFERROR(IF(INDEX(INVENTARIO!$O$7:$O$26,MATCH($D454,INVENTARIO!$B$7:$B$26,0))="",CFG_WALMART,INDEX(INVENTARIO!$O$7:$O$26,MATCH($D454,INVENTARIO!$B$7:$B$26,0))),CFG_WALMART))</f>
        <v/>
      </c>
      <c r="K454" s="112">
        <f>IF($D454="","",$I454*$J454)</f>
        <v/>
      </c>
      <c r="L454" s="129" t="n"/>
      <c r="M454" s="114">
        <f>IF($D454="","",$I454-$K454-N($L454))</f>
        <v/>
      </c>
      <c r="N454" s="113">
        <f>IF($D454="","",IFERROR(INDEX(INVENTARIO!$L$7:$L$26,MATCH($D454,INVENTARIO!$B$7:$B$26,0))*1,0))</f>
        <v/>
      </c>
      <c r="O454" s="112">
        <f>IF($D454="","",N($F454)*$N454)</f>
        <v/>
      </c>
      <c r="P454" s="114">
        <f>IF($D454="","",$M454-$O454)</f>
        <v/>
      </c>
      <c r="Q454" s="115">
        <f>IF($D454="","",IF($I454&gt;0,$P454/$I454,""))</f>
        <v/>
      </c>
      <c r="R454" s="127" t="n"/>
    </row>
    <row r="455">
      <c r="B455" s="130" t="n"/>
      <c r="C455" s="100" t="n"/>
      <c r="D455" s="100" t="n"/>
      <c r="E455" s="96">
        <f>IF($D455="","",IFERROR(INDEX(INVENTARIO!$C$7:$C$26,MATCH($D455,INVENTARIO!$B$7:$B$26,0)),"⚠ ID no existe"))</f>
        <v/>
      </c>
      <c r="F455" s="128" t="n"/>
      <c r="G455" s="129" t="n"/>
      <c r="H455" s="112">
        <f>IF($D455="","",IF($G455="",IFERROR(INDEX(INVENTARIO!$N$7:$N$26,MATCH($D455,INVENTARIO!$B$7:$B$26,0)),""),$G455))</f>
        <v/>
      </c>
      <c r="I455" s="114">
        <f>IF($D455="","",N($F455)*IF(ISNUMBER($H455),$H455,0))</f>
        <v/>
      </c>
      <c r="J455" s="115">
        <f>IF($D455="","",IFERROR(IF(INDEX(INVENTARIO!$O$7:$O$26,MATCH($D455,INVENTARIO!$B$7:$B$26,0))="",CFG_WALMART,INDEX(INVENTARIO!$O$7:$O$26,MATCH($D455,INVENTARIO!$B$7:$B$26,0))),CFG_WALMART))</f>
        <v/>
      </c>
      <c r="K455" s="112">
        <f>IF($D455="","",$I455*$J455)</f>
        <v/>
      </c>
      <c r="L455" s="129" t="n"/>
      <c r="M455" s="114">
        <f>IF($D455="","",$I455-$K455-N($L455))</f>
        <v/>
      </c>
      <c r="N455" s="113">
        <f>IF($D455="","",IFERROR(INDEX(INVENTARIO!$L$7:$L$26,MATCH($D455,INVENTARIO!$B$7:$B$26,0))*1,0))</f>
        <v/>
      </c>
      <c r="O455" s="112">
        <f>IF($D455="","",N($F455)*$N455)</f>
        <v/>
      </c>
      <c r="P455" s="114">
        <f>IF($D455="","",$M455-$O455)</f>
        <v/>
      </c>
      <c r="Q455" s="115">
        <f>IF($D455="","",IF($I455&gt;0,$P455/$I455,""))</f>
        <v/>
      </c>
      <c r="R455" s="127" t="n"/>
    </row>
    <row r="456">
      <c r="B456" s="130" t="n"/>
      <c r="C456" s="100" t="n"/>
      <c r="D456" s="100" t="n"/>
      <c r="E456" s="96">
        <f>IF($D456="","",IFERROR(INDEX(INVENTARIO!$C$7:$C$26,MATCH($D456,INVENTARIO!$B$7:$B$26,0)),"⚠ ID no existe"))</f>
        <v/>
      </c>
      <c r="F456" s="128" t="n"/>
      <c r="G456" s="129" t="n"/>
      <c r="H456" s="112">
        <f>IF($D456="","",IF($G456="",IFERROR(INDEX(INVENTARIO!$N$7:$N$26,MATCH($D456,INVENTARIO!$B$7:$B$26,0)),""),$G456))</f>
        <v/>
      </c>
      <c r="I456" s="114">
        <f>IF($D456="","",N($F456)*IF(ISNUMBER($H456),$H456,0))</f>
        <v/>
      </c>
      <c r="J456" s="115">
        <f>IF($D456="","",IFERROR(IF(INDEX(INVENTARIO!$O$7:$O$26,MATCH($D456,INVENTARIO!$B$7:$B$26,0))="",CFG_WALMART,INDEX(INVENTARIO!$O$7:$O$26,MATCH($D456,INVENTARIO!$B$7:$B$26,0))),CFG_WALMART))</f>
        <v/>
      </c>
      <c r="K456" s="112">
        <f>IF($D456="","",$I456*$J456)</f>
        <v/>
      </c>
      <c r="L456" s="129" t="n"/>
      <c r="M456" s="114">
        <f>IF($D456="","",$I456-$K456-N($L456))</f>
        <v/>
      </c>
      <c r="N456" s="113">
        <f>IF($D456="","",IFERROR(INDEX(INVENTARIO!$L$7:$L$26,MATCH($D456,INVENTARIO!$B$7:$B$26,0))*1,0))</f>
        <v/>
      </c>
      <c r="O456" s="112">
        <f>IF($D456="","",N($F456)*$N456)</f>
        <v/>
      </c>
      <c r="P456" s="114">
        <f>IF($D456="","",$M456-$O456)</f>
        <v/>
      </c>
      <c r="Q456" s="115">
        <f>IF($D456="","",IF($I456&gt;0,$P456/$I456,""))</f>
        <v/>
      </c>
      <c r="R456" s="127" t="n"/>
    </row>
    <row r="457">
      <c r="B457" s="130" t="n"/>
      <c r="C457" s="100" t="n"/>
      <c r="D457" s="100" t="n"/>
      <c r="E457" s="96">
        <f>IF($D457="","",IFERROR(INDEX(INVENTARIO!$C$7:$C$26,MATCH($D457,INVENTARIO!$B$7:$B$26,0)),"⚠ ID no existe"))</f>
        <v/>
      </c>
      <c r="F457" s="128" t="n"/>
      <c r="G457" s="129" t="n"/>
      <c r="H457" s="112">
        <f>IF($D457="","",IF($G457="",IFERROR(INDEX(INVENTARIO!$N$7:$N$26,MATCH($D457,INVENTARIO!$B$7:$B$26,0)),""),$G457))</f>
        <v/>
      </c>
      <c r="I457" s="114">
        <f>IF($D457="","",N($F457)*IF(ISNUMBER($H457),$H457,0))</f>
        <v/>
      </c>
      <c r="J457" s="115">
        <f>IF($D457="","",IFERROR(IF(INDEX(INVENTARIO!$O$7:$O$26,MATCH($D457,INVENTARIO!$B$7:$B$26,0))="",CFG_WALMART,INDEX(INVENTARIO!$O$7:$O$26,MATCH($D457,INVENTARIO!$B$7:$B$26,0))),CFG_WALMART))</f>
        <v/>
      </c>
      <c r="K457" s="112">
        <f>IF($D457="","",$I457*$J457)</f>
        <v/>
      </c>
      <c r="L457" s="129" t="n"/>
      <c r="M457" s="114">
        <f>IF($D457="","",$I457-$K457-N($L457))</f>
        <v/>
      </c>
      <c r="N457" s="113">
        <f>IF($D457="","",IFERROR(INDEX(INVENTARIO!$L$7:$L$26,MATCH($D457,INVENTARIO!$B$7:$B$26,0))*1,0))</f>
        <v/>
      </c>
      <c r="O457" s="112">
        <f>IF($D457="","",N($F457)*$N457)</f>
        <v/>
      </c>
      <c r="P457" s="114">
        <f>IF($D457="","",$M457-$O457)</f>
        <v/>
      </c>
      <c r="Q457" s="115">
        <f>IF($D457="","",IF($I457&gt;0,$P457/$I457,""))</f>
        <v/>
      </c>
      <c r="R457" s="127" t="n"/>
    </row>
    <row r="458">
      <c r="B458" s="130" t="n"/>
      <c r="C458" s="100" t="n"/>
      <c r="D458" s="100" t="n"/>
      <c r="E458" s="96">
        <f>IF($D458="","",IFERROR(INDEX(INVENTARIO!$C$7:$C$26,MATCH($D458,INVENTARIO!$B$7:$B$26,0)),"⚠ ID no existe"))</f>
        <v/>
      </c>
      <c r="F458" s="128" t="n"/>
      <c r="G458" s="129" t="n"/>
      <c r="H458" s="112">
        <f>IF($D458="","",IF($G458="",IFERROR(INDEX(INVENTARIO!$N$7:$N$26,MATCH($D458,INVENTARIO!$B$7:$B$26,0)),""),$G458))</f>
        <v/>
      </c>
      <c r="I458" s="114">
        <f>IF($D458="","",N($F458)*IF(ISNUMBER($H458),$H458,0))</f>
        <v/>
      </c>
      <c r="J458" s="115">
        <f>IF($D458="","",IFERROR(IF(INDEX(INVENTARIO!$O$7:$O$26,MATCH($D458,INVENTARIO!$B$7:$B$26,0))="",CFG_WALMART,INDEX(INVENTARIO!$O$7:$O$26,MATCH($D458,INVENTARIO!$B$7:$B$26,0))),CFG_WALMART))</f>
        <v/>
      </c>
      <c r="K458" s="112">
        <f>IF($D458="","",$I458*$J458)</f>
        <v/>
      </c>
      <c r="L458" s="129" t="n"/>
      <c r="M458" s="114">
        <f>IF($D458="","",$I458-$K458-N($L458))</f>
        <v/>
      </c>
      <c r="N458" s="113">
        <f>IF($D458="","",IFERROR(INDEX(INVENTARIO!$L$7:$L$26,MATCH($D458,INVENTARIO!$B$7:$B$26,0))*1,0))</f>
        <v/>
      </c>
      <c r="O458" s="112">
        <f>IF($D458="","",N($F458)*$N458)</f>
        <v/>
      </c>
      <c r="P458" s="114">
        <f>IF($D458="","",$M458-$O458)</f>
        <v/>
      </c>
      <c r="Q458" s="115">
        <f>IF($D458="","",IF($I458&gt;0,$P458/$I458,""))</f>
        <v/>
      </c>
      <c r="R458" s="127" t="n"/>
    </row>
    <row r="459">
      <c r="B459" s="130" t="n"/>
      <c r="C459" s="100" t="n"/>
      <c r="D459" s="100" t="n"/>
      <c r="E459" s="96">
        <f>IF($D459="","",IFERROR(INDEX(INVENTARIO!$C$7:$C$26,MATCH($D459,INVENTARIO!$B$7:$B$26,0)),"⚠ ID no existe"))</f>
        <v/>
      </c>
      <c r="F459" s="128" t="n"/>
      <c r="G459" s="129" t="n"/>
      <c r="H459" s="112">
        <f>IF($D459="","",IF($G459="",IFERROR(INDEX(INVENTARIO!$N$7:$N$26,MATCH($D459,INVENTARIO!$B$7:$B$26,0)),""),$G459))</f>
        <v/>
      </c>
      <c r="I459" s="114">
        <f>IF($D459="","",N($F459)*IF(ISNUMBER($H459),$H459,0))</f>
        <v/>
      </c>
      <c r="J459" s="115">
        <f>IF($D459="","",IFERROR(IF(INDEX(INVENTARIO!$O$7:$O$26,MATCH($D459,INVENTARIO!$B$7:$B$26,0))="",CFG_WALMART,INDEX(INVENTARIO!$O$7:$O$26,MATCH($D459,INVENTARIO!$B$7:$B$26,0))),CFG_WALMART))</f>
        <v/>
      </c>
      <c r="K459" s="112">
        <f>IF($D459="","",$I459*$J459)</f>
        <v/>
      </c>
      <c r="L459" s="129" t="n"/>
      <c r="M459" s="114">
        <f>IF($D459="","",$I459-$K459-N($L459))</f>
        <v/>
      </c>
      <c r="N459" s="113">
        <f>IF($D459="","",IFERROR(INDEX(INVENTARIO!$L$7:$L$26,MATCH($D459,INVENTARIO!$B$7:$B$26,0))*1,0))</f>
        <v/>
      </c>
      <c r="O459" s="112">
        <f>IF($D459="","",N($F459)*$N459)</f>
        <v/>
      </c>
      <c r="P459" s="114">
        <f>IF($D459="","",$M459-$O459)</f>
        <v/>
      </c>
      <c r="Q459" s="115">
        <f>IF($D459="","",IF($I459&gt;0,$P459/$I459,""))</f>
        <v/>
      </c>
      <c r="R459" s="127" t="n"/>
    </row>
    <row r="460">
      <c r="B460" s="130" t="n"/>
      <c r="C460" s="100" t="n"/>
      <c r="D460" s="100" t="n"/>
      <c r="E460" s="96">
        <f>IF($D460="","",IFERROR(INDEX(INVENTARIO!$C$7:$C$26,MATCH($D460,INVENTARIO!$B$7:$B$26,0)),"⚠ ID no existe"))</f>
        <v/>
      </c>
      <c r="F460" s="128" t="n"/>
      <c r="G460" s="129" t="n"/>
      <c r="H460" s="112">
        <f>IF($D460="","",IF($G460="",IFERROR(INDEX(INVENTARIO!$N$7:$N$26,MATCH($D460,INVENTARIO!$B$7:$B$26,0)),""),$G460))</f>
        <v/>
      </c>
      <c r="I460" s="114">
        <f>IF($D460="","",N($F460)*IF(ISNUMBER($H460),$H460,0))</f>
        <v/>
      </c>
      <c r="J460" s="115">
        <f>IF($D460="","",IFERROR(IF(INDEX(INVENTARIO!$O$7:$O$26,MATCH($D460,INVENTARIO!$B$7:$B$26,0))="",CFG_WALMART,INDEX(INVENTARIO!$O$7:$O$26,MATCH($D460,INVENTARIO!$B$7:$B$26,0))),CFG_WALMART))</f>
        <v/>
      </c>
      <c r="K460" s="112">
        <f>IF($D460="","",$I460*$J460)</f>
        <v/>
      </c>
      <c r="L460" s="129" t="n"/>
      <c r="M460" s="114">
        <f>IF($D460="","",$I460-$K460-N($L460))</f>
        <v/>
      </c>
      <c r="N460" s="113">
        <f>IF($D460="","",IFERROR(INDEX(INVENTARIO!$L$7:$L$26,MATCH($D460,INVENTARIO!$B$7:$B$26,0))*1,0))</f>
        <v/>
      </c>
      <c r="O460" s="112">
        <f>IF($D460="","",N($F460)*$N460)</f>
        <v/>
      </c>
      <c r="P460" s="114">
        <f>IF($D460="","",$M460-$O460)</f>
        <v/>
      </c>
      <c r="Q460" s="115">
        <f>IF($D460="","",IF($I460&gt;0,$P460/$I460,""))</f>
        <v/>
      </c>
      <c r="R460" s="127" t="n"/>
    </row>
    <row r="461">
      <c r="B461" s="130" t="n"/>
      <c r="C461" s="100" t="n"/>
      <c r="D461" s="100" t="n"/>
      <c r="E461" s="96">
        <f>IF($D461="","",IFERROR(INDEX(INVENTARIO!$C$7:$C$26,MATCH($D461,INVENTARIO!$B$7:$B$26,0)),"⚠ ID no existe"))</f>
        <v/>
      </c>
      <c r="F461" s="128" t="n"/>
      <c r="G461" s="129" t="n"/>
      <c r="H461" s="112">
        <f>IF($D461="","",IF($G461="",IFERROR(INDEX(INVENTARIO!$N$7:$N$26,MATCH($D461,INVENTARIO!$B$7:$B$26,0)),""),$G461))</f>
        <v/>
      </c>
      <c r="I461" s="114">
        <f>IF($D461="","",N($F461)*IF(ISNUMBER($H461),$H461,0))</f>
        <v/>
      </c>
      <c r="J461" s="115">
        <f>IF($D461="","",IFERROR(IF(INDEX(INVENTARIO!$O$7:$O$26,MATCH($D461,INVENTARIO!$B$7:$B$26,0))="",CFG_WALMART,INDEX(INVENTARIO!$O$7:$O$26,MATCH($D461,INVENTARIO!$B$7:$B$26,0))),CFG_WALMART))</f>
        <v/>
      </c>
      <c r="K461" s="112">
        <f>IF($D461="","",$I461*$J461)</f>
        <v/>
      </c>
      <c r="L461" s="129" t="n"/>
      <c r="M461" s="114">
        <f>IF($D461="","",$I461-$K461-N($L461))</f>
        <v/>
      </c>
      <c r="N461" s="113">
        <f>IF($D461="","",IFERROR(INDEX(INVENTARIO!$L$7:$L$26,MATCH($D461,INVENTARIO!$B$7:$B$26,0))*1,0))</f>
        <v/>
      </c>
      <c r="O461" s="112">
        <f>IF($D461="","",N($F461)*$N461)</f>
        <v/>
      </c>
      <c r="P461" s="114">
        <f>IF($D461="","",$M461-$O461)</f>
        <v/>
      </c>
      <c r="Q461" s="115">
        <f>IF($D461="","",IF($I461&gt;0,$P461/$I461,""))</f>
        <v/>
      </c>
      <c r="R461" s="127" t="n"/>
    </row>
    <row r="462">
      <c r="B462" s="130" t="n"/>
      <c r="C462" s="100" t="n"/>
      <c r="D462" s="100" t="n"/>
      <c r="E462" s="96">
        <f>IF($D462="","",IFERROR(INDEX(INVENTARIO!$C$7:$C$26,MATCH($D462,INVENTARIO!$B$7:$B$26,0)),"⚠ ID no existe"))</f>
        <v/>
      </c>
      <c r="F462" s="128" t="n"/>
      <c r="G462" s="129" t="n"/>
      <c r="H462" s="112">
        <f>IF($D462="","",IF($G462="",IFERROR(INDEX(INVENTARIO!$N$7:$N$26,MATCH($D462,INVENTARIO!$B$7:$B$26,0)),""),$G462))</f>
        <v/>
      </c>
      <c r="I462" s="114">
        <f>IF($D462="","",N($F462)*IF(ISNUMBER($H462),$H462,0))</f>
        <v/>
      </c>
      <c r="J462" s="115">
        <f>IF($D462="","",IFERROR(IF(INDEX(INVENTARIO!$O$7:$O$26,MATCH($D462,INVENTARIO!$B$7:$B$26,0))="",CFG_WALMART,INDEX(INVENTARIO!$O$7:$O$26,MATCH($D462,INVENTARIO!$B$7:$B$26,0))),CFG_WALMART))</f>
        <v/>
      </c>
      <c r="K462" s="112">
        <f>IF($D462="","",$I462*$J462)</f>
        <v/>
      </c>
      <c r="L462" s="129" t="n"/>
      <c r="M462" s="114">
        <f>IF($D462="","",$I462-$K462-N($L462))</f>
        <v/>
      </c>
      <c r="N462" s="113">
        <f>IF($D462="","",IFERROR(INDEX(INVENTARIO!$L$7:$L$26,MATCH($D462,INVENTARIO!$B$7:$B$26,0))*1,0))</f>
        <v/>
      </c>
      <c r="O462" s="112">
        <f>IF($D462="","",N($F462)*$N462)</f>
        <v/>
      </c>
      <c r="P462" s="114">
        <f>IF($D462="","",$M462-$O462)</f>
        <v/>
      </c>
      <c r="Q462" s="115">
        <f>IF($D462="","",IF($I462&gt;0,$P462/$I462,""))</f>
        <v/>
      </c>
      <c r="R462" s="127" t="n"/>
    </row>
    <row r="463">
      <c r="B463" s="130" t="n"/>
      <c r="C463" s="100" t="n"/>
      <c r="D463" s="100" t="n"/>
      <c r="E463" s="96">
        <f>IF($D463="","",IFERROR(INDEX(INVENTARIO!$C$7:$C$26,MATCH($D463,INVENTARIO!$B$7:$B$26,0)),"⚠ ID no existe"))</f>
        <v/>
      </c>
      <c r="F463" s="128" t="n"/>
      <c r="G463" s="129" t="n"/>
      <c r="H463" s="112">
        <f>IF($D463="","",IF($G463="",IFERROR(INDEX(INVENTARIO!$N$7:$N$26,MATCH($D463,INVENTARIO!$B$7:$B$26,0)),""),$G463))</f>
        <v/>
      </c>
      <c r="I463" s="114">
        <f>IF($D463="","",N($F463)*IF(ISNUMBER($H463),$H463,0))</f>
        <v/>
      </c>
      <c r="J463" s="115">
        <f>IF($D463="","",IFERROR(IF(INDEX(INVENTARIO!$O$7:$O$26,MATCH($D463,INVENTARIO!$B$7:$B$26,0))="",CFG_WALMART,INDEX(INVENTARIO!$O$7:$O$26,MATCH($D463,INVENTARIO!$B$7:$B$26,0))),CFG_WALMART))</f>
        <v/>
      </c>
      <c r="K463" s="112">
        <f>IF($D463="","",$I463*$J463)</f>
        <v/>
      </c>
      <c r="L463" s="129" t="n"/>
      <c r="M463" s="114">
        <f>IF($D463="","",$I463-$K463-N($L463))</f>
        <v/>
      </c>
      <c r="N463" s="113">
        <f>IF($D463="","",IFERROR(INDEX(INVENTARIO!$L$7:$L$26,MATCH($D463,INVENTARIO!$B$7:$B$26,0))*1,0))</f>
        <v/>
      </c>
      <c r="O463" s="112">
        <f>IF($D463="","",N($F463)*$N463)</f>
        <v/>
      </c>
      <c r="P463" s="114">
        <f>IF($D463="","",$M463-$O463)</f>
        <v/>
      </c>
      <c r="Q463" s="115">
        <f>IF($D463="","",IF($I463&gt;0,$P463/$I463,""))</f>
        <v/>
      </c>
      <c r="R463" s="127" t="n"/>
    </row>
    <row r="464">
      <c r="B464" s="130" t="n"/>
      <c r="C464" s="100" t="n"/>
      <c r="D464" s="100" t="n"/>
      <c r="E464" s="96">
        <f>IF($D464="","",IFERROR(INDEX(INVENTARIO!$C$7:$C$26,MATCH($D464,INVENTARIO!$B$7:$B$26,0)),"⚠ ID no existe"))</f>
        <v/>
      </c>
      <c r="F464" s="128" t="n"/>
      <c r="G464" s="129" t="n"/>
      <c r="H464" s="112">
        <f>IF($D464="","",IF($G464="",IFERROR(INDEX(INVENTARIO!$N$7:$N$26,MATCH($D464,INVENTARIO!$B$7:$B$26,0)),""),$G464))</f>
        <v/>
      </c>
      <c r="I464" s="114">
        <f>IF($D464="","",N($F464)*IF(ISNUMBER($H464),$H464,0))</f>
        <v/>
      </c>
      <c r="J464" s="115">
        <f>IF($D464="","",IFERROR(IF(INDEX(INVENTARIO!$O$7:$O$26,MATCH($D464,INVENTARIO!$B$7:$B$26,0))="",CFG_WALMART,INDEX(INVENTARIO!$O$7:$O$26,MATCH($D464,INVENTARIO!$B$7:$B$26,0))),CFG_WALMART))</f>
        <v/>
      </c>
      <c r="K464" s="112">
        <f>IF($D464="","",$I464*$J464)</f>
        <v/>
      </c>
      <c r="L464" s="129" t="n"/>
      <c r="M464" s="114">
        <f>IF($D464="","",$I464-$K464-N($L464))</f>
        <v/>
      </c>
      <c r="N464" s="113">
        <f>IF($D464="","",IFERROR(INDEX(INVENTARIO!$L$7:$L$26,MATCH($D464,INVENTARIO!$B$7:$B$26,0))*1,0))</f>
        <v/>
      </c>
      <c r="O464" s="112">
        <f>IF($D464="","",N($F464)*$N464)</f>
        <v/>
      </c>
      <c r="P464" s="114">
        <f>IF($D464="","",$M464-$O464)</f>
        <v/>
      </c>
      <c r="Q464" s="115">
        <f>IF($D464="","",IF($I464&gt;0,$P464/$I464,""))</f>
        <v/>
      </c>
      <c r="R464" s="127" t="n"/>
    </row>
    <row r="465">
      <c r="B465" s="130" t="n"/>
      <c r="C465" s="100" t="n"/>
      <c r="D465" s="100" t="n"/>
      <c r="E465" s="96">
        <f>IF($D465="","",IFERROR(INDEX(INVENTARIO!$C$7:$C$26,MATCH($D465,INVENTARIO!$B$7:$B$26,0)),"⚠ ID no existe"))</f>
        <v/>
      </c>
      <c r="F465" s="128" t="n"/>
      <c r="G465" s="129" t="n"/>
      <c r="H465" s="112">
        <f>IF($D465="","",IF($G465="",IFERROR(INDEX(INVENTARIO!$N$7:$N$26,MATCH($D465,INVENTARIO!$B$7:$B$26,0)),""),$G465))</f>
        <v/>
      </c>
      <c r="I465" s="114">
        <f>IF($D465="","",N($F465)*IF(ISNUMBER($H465),$H465,0))</f>
        <v/>
      </c>
      <c r="J465" s="115">
        <f>IF($D465="","",IFERROR(IF(INDEX(INVENTARIO!$O$7:$O$26,MATCH($D465,INVENTARIO!$B$7:$B$26,0))="",CFG_WALMART,INDEX(INVENTARIO!$O$7:$O$26,MATCH($D465,INVENTARIO!$B$7:$B$26,0))),CFG_WALMART))</f>
        <v/>
      </c>
      <c r="K465" s="112">
        <f>IF($D465="","",$I465*$J465)</f>
        <v/>
      </c>
      <c r="L465" s="129" t="n"/>
      <c r="M465" s="114">
        <f>IF($D465="","",$I465-$K465-N($L465))</f>
        <v/>
      </c>
      <c r="N465" s="113">
        <f>IF($D465="","",IFERROR(INDEX(INVENTARIO!$L$7:$L$26,MATCH($D465,INVENTARIO!$B$7:$B$26,0))*1,0))</f>
        <v/>
      </c>
      <c r="O465" s="112">
        <f>IF($D465="","",N($F465)*$N465)</f>
        <v/>
      </c>
      <c r="P465" s="114">
        <f>IF($D465="","",$M465-$O465)</f>
        <v/>
      </c>
      <c r="Q465" s="115">
        <f>IF($D465="","",IF($I465&gt;0,$P465/$I465,""))</f>
        <v/>
      </c>
      <c r="R465" s="127" t="n"/>
    </row>
    <row r="466">
      <c r="B466" s="130" t="n"/>
      <c r="C466" s="100" t="n"/>
      <c r="D466" s="100" t="n"/>
      <c r="E466" s="96">
        <f>IF($D466="","",IFERROR(INDEX(INVENTARIO!$C$7:$C$26,MATCH($D466,INVENTARIO!$B$7:$B$26,0)),"⚠ ID no existe"))</f>
        <v/>
      </c>
      <c r="F466" s="128" t="n"/>
      <c r="G466" s="129" t="n"/>
      <c r="H466" s="112">
        <f>IF($D466="","",IF($G466="",IFERROR(INDEX(INVENTARIO!$N$7:$N$26,MATCH($D466,INVENTARIO!$B$7:$B$26,0)),""),$G466))</f>
        <v/>
      </c>
      <c r="I466" s="114">
        <f>IF($D466="","",N($F466)*IF(ISNUMBER($H466),$H466,0))</f>
        <v/>
      </c>
      <c r="J466" s="115">
        <f>IF($D466="","",IFERROR(IF(INDEX(INVENTARIO!$O$7:$O$26,MATCH($D466,INVENTARIO!$B$7:$B$26,0))="",CFG_WALMART,INDEX(INVENTARIO!$O$7:$O$26,MATCH($D466,INVENTARIO!$B$7:$B$26,0))),CFG_WALMART))</f>
        <v/>
      </c>
      <c r="K466" s="112">
        <f>IF($D466="","",$I466*$J466)</f>
        <v/>
      </c>
      <c r="L466" s="129" t="n"/>
      <c r="M466" s="114">
        <f>IF($D466="","",$I466-$K466-N($L466))</f>
        <v/>
      </c>
      <c r="N466" s="113">
        <f>IF($D466="","",IFERROR(INDEX(INVENTARIO!$L$7:$L$26,MATCH($D466,INVENTARIO!$B$7:$B$26,0))*1,0))</f>
        <v/>
      </c>
      <c r="O466" s="112">
        <f>IF($D466="","",N($F466)*$N466)</f>
        <v/>
      </c>
      <c r="P466" s="114">
        <f>IF($D466="","",$M466-$O466)</f>
        <v/>
      </c>
      <c r="Q466" s="115">
        <f>IF($D466="","",IF($I466&gt;0,$P466/$I466,""))</f>
        <v/>
      </c>
      <c r="R466" s="127" t="n"/>
    </row>
    <row r="467">
      <c r="B467" s="130" t="n"/>
      <c r="C467" s="100" t="n"/>
      <c r="D467" s="100" t="n"/>
      <c r="E467" s="96">
        <f>IF($D467="","",IFERROR(INDEX(INVENTARIO!$C$7:$C$26,MATCH($D467,INVENTARIO!$B$7:$B$26,0)),"⚠ ID no existe"))</f>
        <v/>
      </c>
      <c r="F467" s="128" t="n"/>
      <c r="G467" s="129" t="n"/>
      <c r="H467" s="112">
        <f>IF($D467="","",IF($G467="",IFERROR(INDEX(INVENTARIO!$N$7:$N$26,MATCH($D467,INVENTARIO!$B$7:$B$26,0)),""),$G467))</f>
        <v/>
      </c>
      <c r="I467" s="114">
        <f>IF($D467="","",N($F467)*IF(ISNUMBER($H467),$H467,0))</f>
        <v/>
      </c>
      <c r="J467" s="115">
        <f>IF($D467="","",IFERROR(IF(INDEX(INVENTARIO!$O$7:$O$26,MATCH($D467,INVENTARIO!$B$7:$B$26,0))="",CFG_WALMART,INDEX(INVENTARIO!$O$7:$O$26,MATCH($D467,INVENTARIO!$B$7:$B$26,0))),CFG_WALMART))</f>
        <v/>
      </c>
      <c r="K467" s="112">
        <f>IF($D467="","",$I467*$J467)</f>
        <v/>
      </c>
      <c r="L467" s="129" t="n"/>
      <c r="M467" s="114">
        <f>IF($D467="","",$I467-$K467-N($L467))</f>
        <v/>
      </c>
      <c r="N467" s="113">
        <f>IF($D467="","",IFERROR(INDEX(INVENTARIO!$L$7:$L$26,MATCH($D467,INVENTARIO!$B$7:$B$26,0))*1,0))</f>
        <v/>
      </c>
      <c r="O467" s="112">
        <f>IF($D467="","",N($F467)*$N467)</f>
        <v/>
      </c>
      <c r="P467" s="114">
        <f>IF($D467="","",$M467-$O467)</f>
        <v/>
      </c>
      <c r="Q467" s="115">
        <f>IF($D467="","",IF($I467&gt;0,$P467/$I467,""))</f>
        <v/>
      </c>
      <c r="R467" s="127" t="n"/>
    </row>
    <row r="468">
      <c r="B468" s="130" t="n"/>
      <c r="C468" s="100" t="n"/>
      <c r="D468" s="100" t="n"/>
      <c r="E468" s="96">
        <f>IF($D468="","",IFERROR(INDEX(INVENTARIO!$C$7:$C$26,MATCH($D468,INVENTARIO!$B$7:$B$26,0)),"⚠ ID no existe"))</f>
        <v/>
      </c>
      <c r="F468" s="128" t="n"/>
      <c r="G468" s="129" t="n"/>
      <c r="H468" s="112">
        <f>IF($D468="","",IF($G468="",IFERROR(INDEX(INVENTARIO!$N$7:$N$26,MATCH($D468,INVENTARIO!$B$7:$B$26,0)),""),$G468))</f>
        <v/>
      </c>
      <c r="I468" s="114">
        <f>IF($D468="","",N($F468)*IF(ISNUMBER($H468),$H468,0))</f>
        <v/>
      </c>
      <c r="J468" s="115">
        <f>IF($D468="","",IFERROR(IF(INDEX(INVENTARIO!$O$7:$O$26,MATCH($D468,INVENTARIO!$B$7:$B$26,0))="",CFG_WALMART,INDEX(INVENTARIO!$O$7:$O$26,MATCH($D468,INVENTARIO!$B$7:$B$26,0))),CFG_WALMART))</f>
        <v/>
      </c>
      <c r="K468" s="112">
        <f>IF($D468="","",$I468*$J468)</f>
        <v/>
      </c>
      <c r="L468" s="129" t="n"/>
      <c r="M468" s="114">
        <f>IF($D468="","",$I468-$K468-N($L468))</f>
        <v/>
      </c>
      <c r="N468" s="113">
        <f>IF($D468="","",IFERROR(INDEX(INVENTARIO!$L$7:$L$26,MATCH($D468,INVENTARIO!$B$7:$B$26,0))*1,0))</f>
        <v/>
      </c>
      <c r="O468" s="112">
        <f>IF($D468="","",N($F468)*$N468)</f>
        <v/>
      </c>
      <c r="P468" s="114">
        <f>IF($D468="","",$M468-$O468)</f>
        <v/>
      </c>
      <c r="Q468" s="115">
        <f>IF($D468="","",IF($I468&gt;0,$P468/$I468,""))</f>
        <v/>
      </c>
      <c r="R468" s="127" t="n"/>
    </row>
    <row r="469">
      <c r="B469" s="130" t="n"/>
      <c r="C469" s="100" t="n"/>
      <c r="D469" s="100" t="n"/>
      <c r="E469" s="96">
        <f>IF($D469="","",IFERROR(INDEX(INVENTARIO!$C$7:$C$26,MATCH($D469,INVENTARIO!$B$7:$B$26,0)),"⚠ ID no existe"))</f>
        <v/>
      </c>
      <c r="F469" s="128" t="n"/>
      <c r="G469" s="129" t="n"/>
      <c r="H469" s="112">
        <f>IF($D469="","",IF($G469="",IFERROR(INDEX(INVENTARIO!$N$7:$N$26,MATCH($D469,INVENTARIO!$B$7:$B$26,0)),""),$G469))</f>
        <v/>
      </c>
      <c r="I469" s="114">
        <f>IF($D469="","",N($F469)*IF(ISNUMBER($H469),$H469,0))</f>
        <v/>
      </c>
      <c r="J469" s="115">
        <f>IF($D469="","",IFERROR(IF(INDEX(INVENTARIO!$O$7:$O$26,MATCH($D469,INVENTARIO!$B$7:$B$26,0))="",CFG_WALMART,INDEX(INVENTARIO!$O$7:$O$26,MATCH($D469,INVENTARIO!$B$7:$B$26,0))),CFG_WALMART))</f>
        <v/>
      </c>
      <c r="K469" s="112">
        <f>IF($D469="","",$I469*$J469)</f>
        <v/>
      </c>
      <c r="L469" s="129" t="n"/>
      <c r="M469" s="114">
        <f>IF($D469="","",$I469-$K469-N($L469))</f>
        <v/>
      </c>
      <c r="N469" s="113">
        <f>IF($D469="","",IFERROR(INDEX(INVENTARIO!$L$7:$L$26,MATCH($D469,INVENTARIO!$B$7:$B$26,0))*1,0))</f>
        <v/>
      </c>
      <c r="O469" s="112">
        <f>IF($D469="","",N($F469)*$N469)</f>
        <v/>
      </c>
      <c r="P469" s="114">
        <f>IF($D469="","",$M469-$O469)</f>
        <v/>
      </c>
      <c r="Q469" s="115">
        <f>IF($D469="","",IF($I469&gt;0,$P469/$I469,""))</f>
        <v/>
      </c>
      <c r="R469" s="127" t="n"/>
    </row>
    <row r="470">
      <c r="B470" s="130" t="n"/>
      <c r="C470" s="100" t="n"/>
      <c r="D470" s="100" t="n"/>
      <c r="E470" s="96">
        <f>IF($D470="","",IFERROR(INDEX(INVENTARIO!$C$7:$C$26,MATCH($D470,INVENTARIO!$B$7:$B$26,0)),"⚠ ID no existe"))</f>
        <v/>
      </c>
      <c r="F470" s="128" t="n"/>
      <c r="G470" s="129" t="n"/>
      <c r="H470" s="112">
        <f>IF($D470="","",IF($G470="",IFERROR(INDEX(INVENTARIO!$N$7:$N$26,MATCH($D470,INVENTARIO!$B$7:$B$26,0)),""),$G470))</f>
        <v/>
      </c>
      <c r="I470" s="114">
        <f>IF($D470="","",N($F470)*IF(ISNUMBER($H470),$H470,0))</f>
        <v/>
      </c>
      <c r="J470" s="115">
        <f>IF($D470="","",IFERROR(IF(INDEX(INVENTARIO!$O$7:$O$26,MATCH($D470,INVENTARIO!$B$7:$B$26,0))="",CFG_WALMART,INDEX(INVENTARIO!$O$7:$O$26,MATCH($D470,INVENTARIO!$B$7:$B$26,0))),CFG_WALMART))</f>
        <v/>
      </c>
      <c r="K470" s="112">
        <f>IF($D470="","",$I470*$J470)</f>
        <v/>
      </c>
      <c r="L470" s="129" t="n"/>
      <c r="M470" s="114">
        <f>IF($D470="","",$I470-$K470-N($L470))</f>
        <v/>
      </c>
      <c r="N470" s="113">
        <f>IF($D470="","",IFERROR(INDEX(INVENTARIO!$L$7:$L$26,MATCH($D470,INVENTARIO!$B$7:$B$26,0))*1,0))</f>
        <v/>
      </c>
      <c r="O470" s="112">
        <f>IF($D470="","",N($F470)*$N470)</f>
        <v/>
      </c>
      <c r="P470" s="114">
        <f>IF($D470="","",$M470-$O470)</f>
        <v/>
      </c>
      <c r="Q470" s="115">
        <f>IF($D470="","",IF($I470&gt;0,$P470/$I470,""))</f>
        <v/>
      </c>
      <c r="R470" s="127" t="n"/>
    </row>
    <row r="471">
      <c r="B471" s="130" t="n"/>
      <c r="C471" s="100" t="n"/>
      <c r="D471" s="100" t="n"/>
      <c r="E471" s="96">
        <f>IF($D471="","",IFERROR(INDEX(INVENTARIO!$C$7:$C$26,MATCH($D471,INVENTARIO!$B$7:$B$26,0)),"⚠ ID no existe"))</f>
        <v/>
      </c>
      <c r="F471" s="128" t="n"/>
      <c r="G471" s="129" t="n"/>
      <c r="H471" s="112">
        <f>IF($D471="","",IF($G471="",IFERROR(INDEX(INVENTARIO!$N$7:$N$26,MATCH($D471,INVENTARIO!$B$7:$B$26,0)),""),$G471))</f>
        <v/>
      </c>
      <c r="I471" s="114">
        <f>IF($D471="","",N($F471)*IF(ISNUMBER($H471),$H471,0))</f>
        <v/>
      </c>
      <c r="J471" s="115">
        <f>IF($D471="","",IFERROR(IF(INDEX(INVENTARIO!$O$7:$O$26,MATCH($D471,INVENTARIO!$B$7:$B$26,0))="",CFG_WALMART,INDEX(INVENTARIO!$O$7:$O$26,MATCH($D471,INVENTARIO!$B$7:$B$26,0))),CFG_WALMART))</f>
        <v/>
      </c>
      <c r="K471" s="112">
        <f>IF($D471="","",$I471*$J471)</f>
        <v/>
      </c>
      <c r="L471" s="129" t="n"/>
      <c r="M471" s="114">
        <f>IF($D471="","",$I471-$K471-N($L471))</f>
        <v/>
      </c>
      <c r="N471" s="113">
        <f>IF($D471="","",IFERROR(INDEX(INVENTARIO!$L$7:$L$26,MATCH($D471,INVENTARIO!$B$7:$B$26,0))*1,0))</f>
        <v/>
      </c>
      <c r="O471" s="112">
        <f>IF($D471="","",N($F471)*$N471)</f>
        <v/>
      </c>
      <c r="P471" s="114">
        <f>IF($D471="","",$M471-$O471)</f>
        <v/>
      </c>
      <c r="Q471" s="115">
        <f>IF($D471="","",IF($I471&gt;0,$P471/$I471,""))</f>
        <v/>
      </c>
      <c r="R471" s="127" t="n"/>
    </row>
    <row r="472">
      <c r="B472" s="130" t="n"/>
      <c r="C472" s="100" t="n"/>
      <c r="D472" s="100" t="n"/>
      <c r="E472" s="96">
        <f>IF($D472="","",IFERROR(INDEX(INVENTARIO!$C$7:$C$26,MATCH($D472,INVENTARIO!$B$7:$B$26,0)),"⚠ ID no existe"))</f>
        <v/>
      </c>
      <c r="F472" s="128" t="n"/>
      <c r="G472" s="129" t="n"/>
      <c r="H472" s="112">
        <f>IF($D472="","",IF($G472="",IFERROR(INDEX(INVENTARIO!$N$7:$N$26,MATCH($D472,INVENTARIO!$B$7:$B$26,0)),""),$G472))</f>
        <v/>
      </c>
      <c r="I472" s="114">
        <f>IF($D472="","",N($F472)*IF(ISNUMBER($H472),$H472,0))</f>
        <v/>
      </c>
      <c r="J472" s="115">
        <f>IF($D472="","",IFERROR(IF(INDEX(INVENTARIO!$O$7:$O$26,MATCH($D472,INVENTARIO!$B$7:$B$26,0))="",CFG_WALMART,INDEX(INVENTARIO!$O$7:$O$26,MATCH($D472,INVENTARIO!$B$7:$B$26,0))),CFG_WALMART))</f>
        <v/>
      </c>
      <c r="K472" s="112">
        <f>IF($D472="","",$I472*$J472)</f>
        <v/>
      </c>
      <c r="L472" s="129" t="n"/>
      <c r="M472" s="114">
        <f>IF($D472="","",$I472-$K472-N($L472))</f>
        <v/>
      </c>
      <c r="N472" s="113">
        <f>IF($D472="","",IFERROR(INDEX(INVENTARIO!$L$7:$L$26,MATCH($D472,INVENTARIO!$B$7:$B$26,0))*1,0))</f>
        <v/>
      </c>
      <c r="O472" s="112">
        <f>IF($D472="","",N($F472)*$N472)</f>
        <v/>
      </c>
      <c r="P472" s="114">
        <f>IF($D472="","",$M472-$O472)</f>
        <v/>
      </c>
      <c r="Q472" s="115">
        <f>IF($D472="","",IF($I472&gt;0,$P472/$I472,""))</f>
        <v/>
      </c>
      <c r="R472" s="127" t="n"/>
    </row>
    <row r="473">
      <c r="B473" s="130" t="n"/>
      <c r="C473" s="100" t="n"/>
      <c r="D473" s="100" t="n"/>
      <c r="E473" s="96">
        <f>IF($D473="","",IFERROR(INDEX(INVENTARIO!$C$7:$C$26,MATCH($D473,INVENTARIO!$B$7:$B$26,0)),"⚠ ID no existe"))</f>
        <v/>
      </c>
      <c r="F473" s="128" t="n"/>
      <c r="G473" s="129" t="n"/>
      <c r="H473" s="112">
        <f>IF($D473="","",IF($G473="",IFERROR(INDEX(INVENTARIO!$N$7:$N$26,MATCH($D473,INVENTARIO!$B$7:$B$26,0)),""),$G473))</f>
        <v/>
      </c>
      <c r="I473" s="114">
        <f>IF($D473="","",N($F473)*IF(ISNUMBER($H473),$H473,0))</f>
        <v/>
      </c>
      <c r="J473" s="115">
        <f>IF($D473="","",IFERROR(IF(INDEX(INVENTARIO!$O$7:$O$26,MATCH($D473,INVENTARIO!$B$7:$B$26,0))="",CFG_WALMART,INDEX(INVENTARIO!$O$7:$O$26,MATCH($D473,INVENTARIO!$B$7:$B$26,0))),CFG_WALMART))</f>
        <v/>
      </c>
      <c r="K473" s="112">
        <f>IF($D473="","",$I473*$J473)</f>
        <v/>
      </c>
      <c r="L473" s="129" t="n"/>
      <c r="M473" s="114">
        <f>IF($D473="","",$I473-$K473-N($L473))</f>
        <v/>
      </c>
      <c r="N473" s="113">
        <f>IF($D473="","",IFERROR(INDEX(INVENTARIO!$L$7:$L$26,MATCH($D473,INVENTARIO!$B$7:$B$26,0))*1,0))</f>
        <v/>
      </c>
      <c r="O473" s="112">
        <f>IF($D473="","",N($F473)*$N473)</f>
        <v/>
      </c>
      <c r="P473" s="114">
        <f>IF($D473="","",$M473-$O473)</f>
        <v/>
      </c>
      <c r="Q473" s="115">
        <f>IF($D473="","",IF($I473&gt;0,$P473/$I473,""))</f>
        <v/>
      </c>
      <c r="R473" s="127" t="n"/>
    </row>
    <row r="474">
      <c r="B474" s="130" t="n"/>
      <c r="C474" s="100" t="n"/>
      <c r="D474" s="100" t="n"/>
      <c r="E474" s="96">
        <f>IF($D474="","",IFERROR(INDEX(INVENTARIO!$C$7:$C$26,MATCH($D474,INVENTARIO!$B$7:$B$26,0)),"⚠ ID no existe"))</f>
        <v/>
      </c>
      <c r="F474" s="128" t="n"/>
      <c r="G474" s="129" t="n"/>
      <c r="H474" s="112">
        <f>IF($D474="","",IF($G474="",IFERROR(INDEX(INVENTARIO!$N$7:$N$26,MATCH($D474,INVENTARIO!$B$7:$B$26,0)),""),$G474))</f>
        <v/>
      </c>
      <c r="I474" s="114">
        <f>IF($D474="","",N($F474)*IF(ISNUMBER($H474),$H474,0))</f>
        <v/>
      </c>
      <c r="J474" s="115">
        <f>IF($D474="","",IFERROR(IF(INDEX(INVENTARIO!$O$7:$O$26,MATCH($D474,INVENTARIO!$B$7:$B$26,0))="",CFG_WALMART,INDEX(INVENTARIO!$O$7:$O$26,MATCH($D474,INVENTARIO!$B$7:$B$26,0))),CFG_WALMART))</f>
        <v/>
      </c>
      <c r="K474" s="112">
        <f>IF($D474="","",$I474*$J474)</f>
        <v/>
      </c>
      <c r="L474" s="129" t="n"/>
      <c r="M474" s="114">
        <f>IF($D474="","",$I474-$K474-N($L474))</f>
        <v/>
      </c>
      <c r="N474" s="113">
        <f>IF($D474="","",IFERROR(INDEX(INVENTARIO!$L$7:$L$26,MATCH($D474,INVENTARIO!$B$7:$B$26,0))*1,0))</f>
        <v/>
      </c>
      <c r="O474" s="112">
        <f>IF($D474="","",N($F474)*$N474)</f>
        <v/>
      </c>
      <c r="P474" s="114">
        <f>IF($D474="","",$M474-$O474)</f>
        <v/>
      </c>
      <c r="Q474" s="115">
        <f>IF($D474="","",IF($I474&gt;0,$P474/$I474,""))</f>
        <v/>
      </c>
      <c r="R474" s="127" t="n"/>
    </row>
    <row r="475">
      <c r="B475" s="130" t="n"/>
      <c r="C475" s="100" t="n"/>
      <c r="D475" s="100" t="n"/>
      <c r="E475" s="96">
        <f>IF($D475="","",IFERROR(INDEX(INVENTARIO!$C$7:$C$26,MATCH($D475,INVENTARIO!$B$7:$B$26,0)),"⚠ ID no existe"))</f>
        <v/>
      </c>
      <c r="F475" s="128" t="n"/>
      <c r="G475" s="129" t="n"/>
      <c r="H475" s="112">
        <f>IF($D475="","",IF($G475="",IFERROR(INDEX(INVENTARIO!$N$7:$N$26,MATCH($D475,INVENTARIO!$B$7:$B$26,0)),""),$G475))</f>
        <v/>
      </c>
      <c r="I475" s="114">
        <f>IF($D475="","",N($F475)*IF(ISNUMBER($H475),$H475,0))</f>
        <v/>
      </c>
      <c r="J475" s="115">
        <f>IF($D475="","",IFERROR(IF(INDEX(INVENTARIO!$O$7:$O$26,MATCH($D475,INVENTARIO!$B$7:$B$26,0))="",CFG_WALMART,INDEX(INVENTARIO!$O$7:$O$26,MATCH($D475,INVENTARIO!$B$7:$B$26,0))),CFG_WALMART))</f>
        <v/>
      </c>
      <c r="K475" s="112">
        <f>IF($D475="","",$I475*$J475)</f>
        <v/>
      </c>
      <c r="L475" s="129" t="n"/>
      <c r="M475" s="114">
        <f>IF($D475="","",$I475-$K475-N($L475))</f>
        <v/>
      </c>
      <c r="N475" s="113">
        <f>IF($D475="","",IFERROR(INDEX(INVENTARIO!$L$7:$L$26,MATCH($D475,INVENTARIO!$B$7:$B$26,0))*1,0))</f>
        <v/>
      </c>
      <c r="O475" s="112">
        <f>IF($D475="","",N($F475)*$N475)</f>
        <v/>
      </c>
      <c r="P475" s="114">
        <f>IF($D475="","",$M475-$O475)</f>
        <v/>
      </c>
      <c r="Q475" s="115">
        <f>IF($D475="","",IF($I475&gt;0,$P475/$I475,""))</f>
        <v/>
      </c>
      <c r="R475" s="127" t="n"/>
    </row>
    <row r="476">
      <c r="B476" s="130" t="n"/>
      <c r="C476" s="100" t="n"/>
      <c r="D476" s="100" t="n"/>
      <c r="E476" s="96">
        <f>IF($D476="","",IFERROR(INDEX(INVENTARIO!$C$7:$C$26,MATCH($D476,INVENTARIO!$B$7:$B$26,0)),"⚠ ID no existe"))</f>
        <v/>
      </c>
      <c r="F476" s="128" t="n"/>
      <c r="G476" s="129" t="n"/>
      <c r="H476" s="112">
        <f>IF($D476="","",IF($G476="",IFERROR(INDEX(INVENTARIO!$N$7:$N$26,MATCH($D476,INVENTARIO!$B$7:$B$26,0)),""),$G476))</f>
        <v/>
      </c>
      <c r="I476" s="114">
        <f>IF($D476="","",N($F476)*IF(ISNUMBER($H476),$H476,0))</f>
        <v/>
      </c>
      <c r="J476" s="115">
        <f>IF($D476="","",IFERROR(IF(INDEX(INVENTARIO!$O$7:$O$26,MATCH($D476,INVENTARIO!$B$7:$B$26,0))="",CFG_WALMART,INDEX(INVENTARIO!$O$7:$O$26,MATCH($D476,INVENTARIO!$B$7:$B$26,0))),CFG_WALMART))</f>
        <v/>
      </c>
      <c r="K476" s="112">
        <f>IF($D476="","",$I476*$J476)</f>
        <v/>
      </c>
      <c r="L476" s="129" t="n"/>
      <c r="M476" s="114">
        <f>IF($D476="","",$I476-$K476-N($L476))</f>
        <v/>
      </c>
      <c r="N476" s="113">
        <f>IF($D476="","",IFERROR(INDEX(INVENTARIO!$L$7:$L$26,MATCH($D476,INVENTARIO!$B$7:$B$26,0))*1,0))</f>
        <v/>
      </c>
      <c r="O476" s="112">
        <f>IF($D476="","",N($F476)*$N476)</f>
        <v/>
      </c>
      <c r="P476" s="114">
        <f>IF($D476="","",$M476-$O476)</f>
        <v/>
      </c>
      <c r="Q476" s="115">
        <f>IF($D476="","",IF($I476&gt;0,$P476/$I476,""))</f>
        <v/>
      </c>
      <c r="R476" s="127" t="n"/>
    </row>
    <row r="477">
      <c r="B477" s="130" t="n"/>
      <c r="C477" s="100" t="n"/>
      <c r="D477" s="100" t="n"/>
      <c r="E477" s="96">
        <f>IF($D477="","",IFERROR(INDEX(INVENTARIO!$C$7:$C$26,MATCH($D477,INVENTARIO!$B$7:$B$26,0)),"⚠ ID no existe"))</f>
        <v/>
      </c>
      <c r="F477" s="128" t="n"/>
      <c r="G477" s="129" t="n"/>
      <c r="H477" s="112">
        <f>IF($D477="","",IF($G477="",IFERROR(INDEX(INVENTARIO!$N$7:$N$26,MATCH($D477,INVENTARIO!$B$7:$B$26,0)),""),$G477))</f>
        <v/>
      </c>
      <c r="I477" s="114">
        <f>IF($D477="","",N($F477)*IF(ISNUMBER($H477),$H477,0))</f>
        <v/>
      </c>
      <c r="J477" s="115">
        <f>IF($D477="","",IFERROR(IF(INDEX(INVENTARIO!$O$7:$O$26,MATCH($D477,INVENTARIO!$B$7:$B$26,0))="",CFG_WALMART,INDEX(INVENTARIO!$O$7:$O$26,MATCH($D477,INVENTARIO!$B$7:$B$26,0))),CFG_WALMART))</f>
        <v/>
      </c>
      <c r="K477" s="112">
        <f>IF($D477="","",$I477*$J477)</f>
        <v/>
      </c>
      <c r="L477" s="129" t="n"/>
      <c r="M477" s="114">
        <f>IF($D477="","",$I477-$K477-N($L477))</f>
        <v/>
      </c>
      <c r="N477" s="113">
        <f>IF($D477="","",IFERROR(INDEX(INVENTARIO!$L$7:$L$26,MATCH($D477,INVENTARIO!$B$7:$B$26,0))*1,0))</f>
        <v/>
      </c>
      <c r="O477" s="112">
        <f>IF($D477="","",N($F477)*$N477)</f>
        <v/>
      </c>
      <c r="P477" s="114">
        <f>IF($D477="","",$M477-$O477)</f>
        <v/>
      </c>
      <c r="Q477" s="115">
        <f>IF($D477="","",IF($I477&gt;0,$P477/$I477,""))</f>
        <v/>
      </c>
      <c r="R477" s="127" t="n"/>
    </row>
    <row r="478">
      <c r="B478" s="130" t="n"/>
      <c r="C478" s="100" t="n"/>
      <c r="D478" s="100" t="n"/>
      <c r="E478" s="96">
        <f>IF($D478="","",IFERROR(INDEX(INVENTARIO!$C$7:$C$26,MATCH($D478,INVENTARIO!$B$7:$B$26,0)),"⚠ ID no existe"))</f>
        <v/>
      </c>
      <c r="F478" s="128" t="n"/>
      <c r="G478" s="129" t="n"/>
      <c r="H478" s="112">
        <f>IF($D478="","",IF($G478="",IFERROR(INDEX(INVENTARIO!$N$7:$N$26,MATCH($D478,INVENTARIO!$B$7:$B$26,0)),""),$G478))</f>
        <v/>
      </c>
      <c r="I478" s="114">
        <f>IF($D478="","",N($F478)*IF(ISNUMBER($H478),$H478,0))</f>
        <v/>
      </c>
      <c r="J478" s="115">
        <f>IF($D478="","",IFERROR(IF(INDEX(INVENTARIO!$O$7:$O$26,MATCH($D478,INVENTARIO!$B$7:$B$26,0))="",CFG_WALMART,INDEX(INVENTARIO!$O$7:$O$26,MATCH($D478,INVENTARIO!$B$7:$B$26,0))),CFG_WALMART))</f>
        <v/>
      </c>
      <c r="K478" s="112">
        <f>IF($D478="","",$I478*$J478)</f>
        <v/>
      </c>
      <c r="L478" s="129" t="n"/>
      <c r="M478" s="114">
        <f>IF($D478="","",$I478-$K478-N($L478))</f>
        <v/>
      </c>
      <c r="N478" s="113">
        <f>IF($D478="","",IFERROR(INDEX(INVENTARIO!$L$7:$L$26,MATCH($D478,INVENTARIO!$B$7:$B$26,0))*1,0))</f>
        <v/>
      </c>
      <c r="O478" s="112">
        <f>IF($D478="","",N($F478)*$N478)</f>
        <v/>
      </c>
      <c r="P478" s="114">
        <f>IF($D478="","",$M478-$O478)</f>
        <v/>
      </c>
      <c r="Q478" s="115">
        <f>IF($D478="","",IF($I478&gt;0,$P478/$I478,""))</f>
        <v/>
      </c>
      <c r="R478" s="127" t="n"/>
    </row>
    <row r="479">
      <c r="B479" s="130" t="n"/>
      <c r="C479" s="100" t="n"/>
      <c r="D479" s="100" t="n"/>
      <c r="E479" s="96">
        <f>IF($D479="","",IFERROR(INDEX(INVENTARIO!$C$7:$C$26,MATCH($D479,INVENTARIO!$B$7:$B$26,0)),"⚠ ID no existe"))</f>
        <v/>
      </c>
      <c r="F479" s="128" t="n"/>
      <c r="G479" s="129" t="n"/>
      <c r="H479" s="112">
        <f>IF($D479="","",IF($G479="",IFERROR(INDEX(INVENTARIO!$N$7:$N$26,MATCH($D479,INVENTARIO!$B$7:$B$26,0)),""),$G479))</f>
        <v/>
      </c>
      <c r="I479" s="114">
        <f>IF($D479="","",N($F479)*IF(ISNUMBER($H479),$H479,0))</f>
        <v/>
      </c>
      <c r="J479" s="115">
        <f>IF($D479="","",IFERROR(IF(INDEX(INVENTARIO!$O$7:$O$26,MATCH($D479,INVENTARIO!$B$7:$B$26,0))="",CFG_WALMART,INDEX(INVENTARIO!$O$7:$O$26,MATCH($D479,INVENTARIO!$B$7:$B$26,0))),CFG_WALMART))</f>
        <v/>
      </c>
      <c r="K479" s="112">
        <f>IF($D479="","",$I479*$J479)</f>
        <v/>
      </c>
      <c r="L479" s="129" t="n"/>
      <c r="M479" s="114">
        <f>IF($D479="","",$I479-$K479-N($L479))</f>
        <v/>
      </c>
      <c r="N479" s="113">
        <f>IF($D479="","",IFERROR(INDEX(INVENTARIO!$L$7:$L$26,MATCH($D479,INVENTARIO!$B$7:$B$26,0))*1,0))</f>
        <v/>
      </c>
      <c r="O479" s="112">
        <f>IF($D479="","",N($F479)*$N479)</f>
        <v/>
      </c>
      <c r="P479" s="114">
        <f>IF($D479="","",$M479-$O479)</f>
        <v/>
      </c>
      <c r="Q479" s="115">
        <f>IF($D479="","",IF($I479&gt;0,$P479/$I479,""))</f>
        <v/>
      </c>
      <c r="R479" s="127" t="n"/>
    </row>
    <row r="480">
      <c r="B480" s="130" t="n"/>
      <c r="C480" s="100" t="n"/>
      <c r="D480" s="100" t="n"/>
      <c r="E480" s="96">
        <f>IF($D480="","",IFERROR(INDEX(INVENTARIO!$C$7:$C$26,MATCH($D480,INVENTARIO!$B$7:$B$26,0)),"⚠ ID no existe"))</f>
        <v/>
      </c>
      <c r="F480" s="128" t="n"/>
      <c r="G480" s="129" t="n"/>
      <c r="H480" s="112">
        <f>IF($D480="","",IF($G480="",IFERROR(INDEX(INVENTARIO!$N$7:$N$26,MATCH($D480,INVENTARIO!$B$7:$B$26,0)),""),$G480))</f>
        <v/>
      </c>
      <c r="I480" s="114">
        <f>IF($D480="","",N($F480)*IF(ISNUMBER($H480),$H480,0))</f>
        <v/>
      </c>
      <c r="J480" s="115">
        <f>IF($D480="","",IFERROR(IF(INDEX(INVENTARIO!$O$7:$O$26,MATCH($D480,INVENTARIO!$B$7:$B$26,0))="",CFG_WALMART,INDEX(INVENTARIO!$O$7:$O$26,MATCH($D480,INVENTARIO!$B$7:$B$26,0))),CFG_WALMART))</f>
        <v/>
      </c>
      <c r="K480" s="112">
        <f>IF($D480="","",$I480*$J480)</f>
        <v/>
      </c>
      <c r="L480" s="129" t="n"/>
      <c r="M480" s="114">
        <f>IF($D480="","",$I480-$K480-N($L480))</f>
        <v/>
      </c>
      <c r="N480" s="113">
        <f>IF($D480="","",IFERROR(INDEX(INVENTARIO!$L$7:$L$26,MATCH($D480,INVENTARIO!$B$7:$B$26,0))*1,0))</f>
        <v/>
      </c>
      <c r="O480" s="112">
        <f>IF($D480="","",N($F480)*$N480)</f>
        <v/>
      </c>
      <c r="P480" s="114">
        <f>IF($D480="","",$M480-$O480)</f>
        <v/>
      </c>
      <c r="Q480" s="115">
        <f>IF($D480="","",IF($I480&gt;0,$P480/$I480,""))</f>
        <v/>
      </c>
      <c r="R480" s="127" t="n"/>
    </row>
    <row r="481">
      <c r="B481" s="130" t="n"/>
      <c r="C481" s="100" t="n"/>
      <c r="D481" s="100" t="n"/>
      <c r="E481" s="96">
        <f>IF($D481="","",IFERROR(INDEX(INVENTARIO!$C$7:$C$26,MATCH($D481,INVENTARIO!$B$7:$B$26,0)),"⚠ ID no existe"))</f>
        <v/>
      </c>
      <c r="F481" s="128" t="n"/>
      <c r="G481" s="129" t="n"/>
      <c r="H481" s="112">
        <f>IF($D481="","",IF($G481="",IFERROR(INDEX(INVENTARIO!$N$7:$N$26,MATCH($D481,INVENTARIO!$B$7:$B$26,0)),""),$G481))</f>
        <v/>
      </c>
      <c r="I481" s="114">
        <f>IF($D481="","",N($F481)*IF(ISNUMBER($H481),$H481,0))</f>
        <v/>
      </c>
      <c r="J481" s="115">
        <f>IF($D481="","",IFERROR(IF(INDEX(INVENTARIO!$O$7:$O$26,MATCH($D481,INVENTARIO!$B$7:$B$26,0))="",CFG_WALMART,INDEX(INVENTARIO!$O$7:$O$26,MATCH($D481,INVENTARIO!$B$7:$B$26,0))),CFG_WALMART))</f>
        <v/>
      </c>
      <c r="K481" s="112">
        <f>IF($D481="","",$I481*$J481)</f>
        <v/>
      </c>
      <c r="L481" s="129" t="n"/>
      <c r="M481" s="114">
        <f>IF($D481="","",$I481-$K481-N($L481))</f>
        <v/>
      </c>
      <c r="N481" s="113">
        <f>IF($D481="","",IFERROR(INDEX(INVENTARIO!$L$7:$L$26,MATCH($D481,INVENTARIO!$B$7:$B$26,0))*1,0))</f>
        <v/>
      </c>
      <c r="O481" s="112">
        <f>IF($D481="","",N($F481)*$N481)</f>
        <v/>
      </c>
      <c r="P481" s="114">
        <f>IF($D481="","",$M481-$O481)</f>
        <v/>
      </c>
      <c r="Q481" s="115">
        <f>IF($D481="","",IF($I481&gt;0,$P481/$I481,""))</f>
        <v/>
      </c>
      <c r="R481" s="127" t="n"/>
    </row>
    <row r="482">
      <c r="B482" s="130" t="n"/>
      <c r="C482" s="100" t="n"/>
      <c r="D482" s="100" t="n"/>
      <c r="E482" s="96">
        <f>IF($D482="","",IFERROR(INDEX(INVENTARIO!$C$7:$C$26,MATCH($D482,INVENTARIO!$B$7:$B$26,0)),"⚠ ID no existe"))</f>
        <v/>
      </c>
      <c r="F482" s="128" t="n"/>
      <c r="G482" s="129" t="n"/>
      <c r="H482" s="112">
        <f>IF($D482="","",IF($G482="",IFERROR(INDEX(INVENTARIO!$N$7:$N$26,MATCH($D482,INVENTARIO!$B$7:$B$26,0)),""),$G482))</f>
        <v/>
      </c>
      <c r="I482" s="114">
        <f>IF($D482="","",N($F482)*IF(ISNUMBER($H482),$H482,0))</f>
        <v/>
      </c>
      <c r="J482" s="115">
        <f>IF($D482="","",IFERROR(IF(INDEX(INVENTARIO!$O$7:$O$26,MATCH($D482,INVENTARIO!$B$7:$B$26,0))="",CFG_WALMART,INDEX(INVENTARIO!$O$7:$O$26,MATCH($D482,INVENTARIO!$B$7:$B$26,0))),CFG_WALMART))</f>
        <v/>
      </c>
      <c r="K482" s="112">
        <f>IF($D482="","",$I482*$J482)</f>
        <v/>
      </c>
      <c r="L482" s="129" t="n"/>
      <c r="M482" s="114">
        <f>IF($D482="","",$I482-$K482-N($L482))</f>
        <v/>
      </c>
      <c r="N482" s="113">
        <f>IF($D482="","",IFERROR(INDEX(INVENTARIO!$L$7:$L$26,MATCH($D482,INVENTARIO!$B$7:$B$26,0))*1,0))</f>
        <v/>
      </c>
      <c r="O482" s="112">
        <f>IF($D482="","",N($F482)*$N482)</f>
        <v/>
      </c>
      <c r="P482" s="114">
        <f>IF($D482="","",$M482-$O482)</f>
        <v/>
      </c>
      <c r="Q482" s="115">
        <f>IF($D482="","",IF($I482&gt;0,$P482/$I482,""))</f>
        <v/>
      </c>
      <c r="R482" s="127" t="n"/>
    </row>
    <row r="483">
      <c r="B483" s="130" t="n"/>
      <c r="C483" s="100" t="n"/>
      <c r="D483" s="100" t="n"/>
      <c r="E483" s="96">
        <f>IF($D483="","",IFERROR(INDEX(INVENTARIO!$C$7:$C$26,MATCH($D483,INVENTARIO!$B$7:$B$26,0)),"⚠ ID no existe"))</f>
        <v/>
      </c>
      <c r="F483" s="128" t="n"/>
      <c r="G483" s="129" t="n"/>
      <c r="H483" s="112">
        <f>IF($D483="","",IF($G483="",IFERROR(INDEX(INVENTARIO!$N$7:$N$26,MATCH($D483,INVENTARIO!$B$7:$B$26,0)),""),$G483))</f>
        <v/>
      </c>
      <c r="I483" s="114">
        <f>IF($D483="","",N($F483)*IF(ISNUMBER($H483),$H483,0))</f>
        <v/>
      </c>
      <c r="J483" s="115">
        <f>IF($D483="","",IFERROR(IF(INDEX(INVENTARIO!$O$7:$O$26,MATCH($D483,INVENTARIO!$B$7:$B$26,0))="",CFG_WALMART,INDEX(INVENTARIO!$O$7:$O$26,MATCH($D483,INVENTARIO!$B$7:$B$26,0))),CFG_WALMART))</f>
        <v/>
      </c>
      <c r="K483" s="112">
        <f>IF($D483="","",$I483*$J483)</f>
        <v/>
      </c>
      <c r="L483" s="129" t="n"/>
      <c r="M483" s="114">
        <f>IF($D483="","",$I483-$K483-N($L483))</f>
        <v/>
      </c>
      <c r="N483" s="113">
        <f>IF($D483="","",IFERROR(INDEX(INVENTARIO!$L$7:$L$26,MATCH($D483,INVENTARIO!$B$7:$B$26,0))*1,0))</f>
        <v/>
      </c>
      <c r="O483" s="112">
        <f>IF($D483="","",N($F483)*$N483)</f>
        <v/>
      </c>
      <c r="P483" s="114">
        <f>IF($D483="","",$M483-$O483)</f>
        <v/>
      </c>
      <c r="Q483" s="115">
        <f>IF($D483="","",IF($I483&gt;0,$P483/$I483,""))</f>
        <v/>
      </c>
      <c r="R483" s="127" t="n"/>
    </row>
    <row r="484">
      <c r="B484" s="130" t="n"/>
      <c r="C484" s="100" t="n"/>
      <c r="D484" s="100" t="n"/>
      <c r="E484" s="96">
        <f>IF($D484="","",IFERROR(INDEX(INVENTARIO!$C$7:$C$26,MATCH($D484,INVENTARIO!$B$7:$B$26,0)),"⚠ ID no existe"))</f>
        <v/>
      </c>
      <c r="F484" s="128" t="n"/>
      <c r="G484" s="129" t="n"/>
      <c r="H484" s="112">
        <f>IF($D484="","",IF($G484="",IFERROR(INDEX(INVENTARIO!$N$7:$N$26,MATCH($D484,INVENTARIO!$B$7:$B$26,0)),""),$G484))</f>
        <v/>
      </c>
      <c r="I484" s="114">
        <f>IF($D484="","",N($F484)*IF(ISNUMBER($H484),$H484,0))</f>
        <v/>
      </c>
      <c r="J484" s="115">
        <f>IF($D484="","",IFERROR(IF(INDEX(INVENTARIO!$O$7:$O$26,MATCH($D484,INVENTARIO!$B$7:$B$26,0))="",CFG_WALMART,INDEX(INVENTARIO!$O$7:$O$26,MATCH($D484,INVENTARIO!$B$7:$B$26,0))),CFG_WALMART))</f>
        <v/>
      </c>
      <c r="K484" s="112">
        <f>IF($D484="","",$I484*$J484)</f>
        <v/>
      </c>
      <c r="L484" s="129" t="n"/>
      <c r="M484" s="114">
        <f>IF($D484="","",$I484-$K484-N($L484))</f>
        <v/>
      </c>
      <c r="N484" s="113">
        <f>IF($D484="","",IFERROR(INDEX(INVENTARIO!$L$7:$L$26,MATCH($D484,INVENTARIO!$B$7:$B$26,0))*1,0))</f>
        <v/>
      </c>
      <c r="O484" s="112">
        <f>IF($D484="","",N($F484)*$N484)</f>
        <v/>
      </c>
      <c r="P484" s="114">
        <f>IF($D484="","",$M484-$O484)</f>
        <v/>
      </c>
      <c r="Q484" s="115">
        <f>IF($D484="","",IF($I484&gt;0,$P484/$I484,""))</f>
        <v/>
      </c>
      <c r="R484" s="127" t="n"/>
    </row>
    <row r="485">
      <c r="B485" s="130" t="n"/>
      <c r="C485" s="100" t="n"/>
      <c r="D485" s="100" t="n"/>
      <c r="E485" s="96">
        <f>IF($D485="","",IFERROR(INDEX(INVENTARIO!$C$7:$C$26,MATCH($D485,INVENTARIO!$B$7:$B$26,0)),"⚠ ID no existe"))</f>
        <v/>
      </c>
      <c r="F485" s="128" t="n"/>
      <c r="G485" s="129" t="n"/>
      <c r="H485" s="112">
        <f>IF($D485="","",IF($G485="",IFERROR(INDEX(INVENTARIO!$N$7:$N$26,MATCH($D485,INVENTARIO!$B$7:$B$26,0)),""),$G485))</f>
        <v/>
      </c>
      <c r="I485" s="114">
        <f>IF($D485="","",N($F485)*IF(ISNUMBER($H485),$H485,0))</f>
        <v/>
      </c>
      <c r="J485" s="115">
        <f>IF($D485="","",IFERROR(IF(INDEX(INVENTARIO!$O$7:$O$26,MATCH($D485,INVENTARIO!$B$7:$B$26,0))="",CFG_WALMART,INDEX(INVENTARIO!$O$7:$O$26,MATCH($D485,INVENTARIO!$B$7:$B$26,0))),CFG_WALMART))</f>
        <v/>
      </c>
      <c r="K485" s="112">
        <f>IF($D485="","",$I485*$J485)</f>
        <v/>
      </c>
      <c r="L485" s="129" t="n"/>
      <c r="M485" s="114">
        <f>IF($D485="","",$I485-$K485-N($L485))</f>
        <v/>
      </c>
      <c r="N485" s="113">
        <f>IF($D485="","",IFERROR(INDEX(INVENTARIO!$L$7:$L$26,MATCH($D485,INVENTARIO!$B$7:$B$26,0))*1,0))</f>
        <v/>
      </c>
      <c r="O485" s="112">
        <f>IF($D485="","",N($F485)*$N485)</f>
        <v/>
      </c>
      <c r="P485" s="114">
        <f>IF($D485="","",$M485-$O485)</f>
        <v/>
      </c>
      <c r="Q485" s="115">
        <f>IF($D485="","",IF($I485&gt;0,$P485/$I485,""))</f>
        <v/>
      </c>
      <c r="R485" s="127" t="n"/>
    </row>
    <row r="486">
      <c r="B486" s="130" t="n"/>
      <c r="C486" s="100" t="n"/>
      <c r="D486" s="100" t="n"/>
      <c r="E486" s="96">
        <f>IF($D486="","",IFERROR(INDEX(INVENTARIO!$C$7:$C$26,MATCH($D486,INVENTARIO!$B$7:$B$26,0)),"⚠ ID no existe"))</f>
        <v/>
      </c>
      <c r="F486" s="128" t="n"/>
      <c r="G486" s="129" t="n"/>
      <c r="H486" s="112">
        <f>IF($D486="","",IF($G486="",IFERROR(INDEX(INVENTARIO!$N$7:$N$26,MATCH($D486,INVENTARIO!$B$7:$B$26,0)),""),$G486))</f>
        <v/>
      </c>
      <c r="I486" s="114">
        <f>IF($D486="","",N($F486)*IF(ISNUMBER($H486),$H486,0))</f>
        <v/>
      </c>
      <c r="J486" s="115">
        <f>IF($D486="","",IFERROR(IF(INDEX(INVENTARIO!$O$7:$O$26,MATCH($D486,INVENTARIO!$B$7:$B$26,0))="",CFG_WALMART,INDEX(INVENTARIO!$O$7:$O$26,MATCH($D486,INVENTARIO!$B$7:$B$26,0))),CFG_WALMART))</f>
        <v/>
      </c>
      <c r="K486" s="112">
        <f>IF($D486="","",$I486*$J486)</f>
        <v/>
      </c>
      <c r="L486" s="129" t="n"/>
      <c r="M486" s="114">
        <f>IF($D486="","",$I486-$K486-N($L486))</f>
        <v/>
      </c>
      <c r="N486" s="113">
        <f>IF($D486="","",IFERROR(INDEX(INVENTARIO!$L$7:$L$26,MATCH($D486,INVENTARIO!$B$7:$B$26,0))*1,0))</f>
        <v/>
      </c>
      <c r="O486" s="112">
        <f>IF($D486="","",N($F486)*$N486)</f>
        <v/>
      </c>
      <c r="P486" s="114">
        <f>IF($D486="","",$M486-$O486)</f>
        <v/>
      </c>
      <c r="Q486" s="115">
        <f>IF($D486="","",IF($I486&gt;0,$P486/$I486,""))</f>
        <v/>
      </c>
      <c r="R486" s="127" t="n"/>
    </row>
    <row r="487">
      <c r="B487" s="130" t="n"/>
      <c r="C487" s="100" t="n"/>
      <c r="D487" s="100" t="n"/>
      <c r="E487" s="96">
        <f>IF($D487="","",IFERROR(INDEX(INVENTARIO!$C$7:$C$26,MATCH($D487,INVENTARIO!$B$7:$B$26,0)),"⚠ ID no existe"))</f>
        <v/>
      </c>
      <c r="F487" s="128" t="n"/>
      <c r="G487" s="129" t="n"/>
      <c r="H487" s="112">
        <f>IF($D487="","",IF($G487="",IFERROR(INDEX(INVENTARIO!$N$7:$N$26,MATCH($D487,INVENTARIO!$B$7:$B$26,0)),""),$G487))</f>
        <v/>
      </c>
      <c r="I487" s="114">
        <f>IF($D487="","",N($F487)*IF(ISNUMBER($H487),$H487,0))</f>
        <v/>
      </c>
      <c r="J487" s="115">
        <f>IF($D487="","",IFERROR(IF(INDEX(INVENTARIO!$O$7:$O$26,MATCH($D487,INVENTARIO!$B$7:$B$26,0))="",CFG_WALMART,INDEX(INVENTARIO!$O$7:$O$26,MATCH($D487,INVENTARIO!$B$7:$B$26,0))),CFG_WALMART))</f>
        <v/>
      </c>
      <c r="K487" s="112">
        <f>IF($D487="","",$I487*$J487)</f>
        <v/>
      </c>
      <c r="L487" s="129" t="n"/>
      <c r="M487" s="114">
        <f>IF($D487="","",$I487-$K487-N($L487))</f>
        <v/>
      </c>
      <c r="N487" s="113">
        <f>IF($D487="","",IFERROR(INDEX(INVENTARIO!$L$7:$L$26,MATCH($D487,INVENTARIO!$B$7:$B$26,0))*1,0))</f>
        <v/>
      </c>
      <c r="O487" s="112">
        <f>IF($D487="","",N($F487)*$N487)</f>
        <v/>
      </c>
      <c r="P487" s="114">
        <f>IF($D487="","",$M487-$O487)</f>
        <v/>
      </c>
      <c r="Q487" s="115">
        <f>IF($D487="","",IF($I487&gt;0,$P487/$I487,""))</f>
        <v/>
      </c>
      <c r="R487" s="127" t="n"/>
    </row>
    <row r="488">
      <c r="B488" s="130" t="n"/>
      <c r="C488" s="100" t="n"/>
      <c r="D488" s="100" t="n"/>
      <c r="E488" s="96">
        <f>IF($D488="","",IFERROR(INDEX(INVENTARIO!$C$7:$C$26,MATCH($D488,INVENTARIO!$B$7:$B$26,0)),"⚠ ID no existe"))</f>
        <v/>
      </c>
      <c r="F488" s="128" t="n"/>
      <c r="G488" s="129" t="n"/>
      <c r="H488" s="112">
        <f>IF($D488="","",IF($G488="",IFERROR(INDEX(INVENTARIO!$N$7:$N$26,MATCH($D488,INVENTARIO!$B$7:$B$26,0)),""),$G488))</f>
        <v/>
      </c>
      <c r="I488" s="114">
        <f>IF($D488="","",N($F488)*IF(ISNUMBER($H488),$H488,0))</f>
        <v/>
      </c>
      <c r="J488" s="115">
        <f>IF($D488="","",IFERROR(IF(INDEX(INVENTARIO!$O$7:$O$26,MATCH($D488,INVENTARIO!$B$7:$B$26,0))="",CFG_WALMART,INDEX(INVENTARIO!$O$7:$O$26,MATCH($D488,INVENTARIO!$B$7:$B$26,0))),CFG_WALMART))</f>
        <v/>
      </c>
      <c r="K488" s="112">
        <f>IF($D488="","",$I488*$J488)</f>
        <v/>
      </c>
      <c r="L488" s="129" t="n"/>
      <c r="M488" s="114">
        <f>IF($D488="","",$I488-$K488-N($L488))</f>
        <v/>
      </c>
      <c r="N488" s="113">
        <f>IF($D488="","",IFERROR(INDEX(INVENTARIO!$L$7:$L$26,MATCH($D488,INVENTARIO!$B$7:$B$26,0))*1,0))</f>
        <v/>
      </c>
      <c r="O488" s="112">
        <f>IF($D488="","",N($F488)*$N488)</f>
        <v/>
      </c>
      <c r="P488" s="114">
        <f>IF($D488="","",$M488-$O488)</f>
        <v/>
      </c>
      <c r="Q488" s="115">
        <f>IF($D488="","",IF($I488&gt;0,$P488/$I488,""))</f>
        <v/>
      </c>
      <c r="R488" s="127" t="n"/>
    </row>
    <row r="489">
      <c r="B489" s="130" t="n"/>
      <c r="C489" s="100" t="n"/>
      <c r="D489" s="100" t="n"/>
      <c r="E489" s="96">
        <f>IF($D489="","",IFERROR(INDEX(INVENTARIO!$C$7:$C$26,MATCH($D489,INVENTARIO!$B$7:$B$26,0)),"⚠ ID no existe"))</f>
        <v/>
      </c>
      <c r="F489" s="128" t="n"/>
      <c r="G489" s="129" t="n"/>
      <c r="H489" s="112">
        <f>IF($D489="","",IF($G489="",IFERROR(INDEX(INVENTARIO!$N$7:$N$26,MATCH($D489,INVENTARIO!$B$7:$B$26,0)),""),$G489))</f>
        <v/>
      </c>
      <c r="I489" s="114">
        <f>IF($D489="","",N($F489)*IF(ISNUMBER($H489),$H489,0))</f>
        <v/>
      </c>
      <c r="J489" s="115">
        <f>IF($D489="","",IFERROR(IF(INDEX(INVENTARIO!$O$7:$O$26,MATCH($D489,INVENTARIO!$B$7:$B$26,0))="",CFG_WALMART,INDEX(INVENTARIO!$O$7:$O$26,MATCH($D489,INVENTARIO!$B$7:$B$26,0))),CFG_WALMART))</f>
        <v/>
      </c>
      <c r="K489" s="112">
        <f>IF($D489="","",$I489*$J489)</f>
        <v/>
      </c>
      <c r="L489" s="129" t="n"/>
      <c r="M489" s="114">
        <f>IF($D489="","",$I489-$K489-N($L489))</f>
        <v/>
      </c>
      <c r="N489" s="113">
        <f>IF($D489="","",IFERROR(INDEX(INVENTARIO!$L$7:$L$26,MATCH($D489,INVENTARIO!$B$7:$B$26,0))*1,0))</f>
        <v/>
      </c>
      <c r="O489" s="112">
        <f>IF($D489="","",N($F489)*$N489)</f>
        <v/>
      </c>
      <c r="P489" s="114">
        <f>IF($D489="","",$M489-$O489)</f>
        <v/>
      </c>
      <c r="Q489" s="115">
        <f>IF($D489="","",IF($I489&gt;0,$P489/$I489,""))</f>
        <v/>
      </c>
      <c r="R489" s="127" t="n"/>
    </row>
    <row r="490">
      <c r="B490" s="130" t="n"/>
      <c r="C490" s="100" t="n"/>
      <c r="D490" s="100" t="n"/>
      <c r="E490" s="96">
        <f>IF($D490="","",IFERROR(INDEX(INVENTARIO!$C$7:$C$26,MATCH($D490,INVENTARIO!$B$7:$B$26,0)),"⚠ ID no existe"))</f>
        <v/>
      </c>
      <c r="F490" s="128" t="n"/>
      <c r="G490" s="129" t="n"/>
      <c r="H490" s="112">
        <f>IF($D490="","",IF($G490="",IFERROR(INDEX(INVENTARIO!$N$7:$N$26,MATCH($D490,INVENTARIO!$B$7:$B$26,0)),""),$G490))</f>
        <v/>
      </c>
      <c r="I490" s="114">
        <f>IF($D490="","",N($F490)*IF(ISNUMBER($H490),$H490,0))</f>
        <v/>
      </c>
      <c r="J490" s="115">
        <f>IF($D490="","",IFERROR(IF(INDEX(INVENTARIO!$O$7:$O$26,MATCH($D490,INVENTARIO!$B$7:$B$26,0))="",CFG_WALMART,INDEX(INVENTARIO!$O$7:$O$26,MATCH($D490,INVENTARIO!$B$7:$B$26,0))),CFG_WALMART))</f>
        <v/>
      </c>
      <c r="K490" s="112">
        <f>IF($D490="","",$I490*$J490)</f>
        <v/>
      </c>
      <c r="L490" s="129" t="n"/>
      <c r="M490" s="114">
        <f>IF($D490="","",$I490-$K490-N($L490))</f>
        <v/>
      </c>
      <c r="N490" s="113">
        <f>IF($D490="","",IFERROR(INDEX(INVENTARIO!$L$7:$L$26,MATCH($D490,INVENTARIO!$B$7:$B$26,0))*1,0))</f>
        <v/>
      </c>
      <c r="O490" s="112">
        <f>IF($D490="","",N($F490)*$N490)</f>
        <v/>
      </c>
      <c r="P490" s="114">
        <f>IF($D490="","",$M490-$O490)</f>
        <v/>
      </c>
      <c r="Q490" s="115">
        <f>IF($D490="","",IF($I490&gt;0,$P490/$I490,""))</f>
        <v/>
      </c>
      <c r="R490" s="127" t="n"/>
    </row>
    <row r="491">
      <c r="B491" s="130" t="n"/>
      <c r="C491" s="100" t="n"/>
      <c r="D491" s="100" t="n"/>
      <c r="E491" s="96">
        <f>IF($D491="","",IFERROR(INDEX(INVENTARIO!$C$7:$C$26,MATCH($D491,INVENTARIO!$B$7:$B$26,0)),"⚠ ID no existe"))</f>
        <v/>
      </c>
      <c r="F491" s="128" t="n"/>
      <c r="G491" s="129" t="n"/>
      <c r="H491" s="112">
        <f>IF($D491="","",IF($G491="",IFERROR(INDEX(INVENTARIO!$N$7:$N$26,MATCH($D491,INVENTARIO!$B$7:$B$26,0)),""),$G491))</f>
        <v/>
      </c>
      <c r="I491" s="114">
        <f>IF($D491="","",N($F491)*IF(ISNUMBER($H491),$H491,0))</f>
        <v/>
      </c>
      <c r="J491" s="115">
        <f>IF($D491="","",IFERROR(IF(INDEX(INVENTARIO!$O$7:$O$26,MATCH($D491,INVENTARIO!$B$7:$B$26,0))="",CFG_WALMART,INDEX(INVENTARIO!$O$7:$O$26,MATCH($D491,INVENTARIO!$B$7:$B$26,0))),CFG_WALMART))</f>
        <v/>
      </c>
      <c r="K491" s="112">
        <f>IF($D491="","",$I491*$J491)</f>
        <v/>
      </c>
      <c r="L491" s="129" t="n"/>
      <c r="M491" s="114">
        <f>IF($D491="","",$I491-$K491-N($L491))</f>
        <v/>
      </c>
      <c r="N491" s="113">
        <f>IF($D491="","",IFERROR(INDEX(INVENTARIO!$L$7:$L$26,MATCH($D491,INVENTARIO!$B$7:$B$26,0))*1,0))</f>
        <v/>
      </c>
      <c r="O491" s="112">
        <f>IF($D491="","",N($F491)*$N491)</f>
        <v/>
      </c>
      <c r="P491" s="114">
        <f>IF($D491="","",$M491-$O491)</f>
        <v/>
      </c>
      <c r="Q491" s="115">
        <f>IF($D491="","",IF($I491&gt;0,$P491/$I491,""))</f>
        <v/>
      </c>
      <c r="R491" s="127" t="n"/>
    </row>
    <row r="492">
      <c r="B492" s="130" t="n"/>
      <c r="C492" s="100" t="n"/>
      <c r="D492" s="100" t="n"/>
      <c r="E492" s="96">
        <f>IF($D492="","",IFERROR(INDEX(INVENTARIO!$C$7:$C$26,MATCH($D492,INVENTARIO!$B$7:$B$26,0)),"⚠ ID no existe"))</f>
        <v/>
      </c>
      <c r="F492" s="128" t="n"/>
      <c r="G492" s="129" t="n"/>
      <c r="H492" s="112">
        <f>IF($D492="","",IF($G492="",IFERROR(INDEX(INVENTARIO!$N$7:$N$26,MATCH($D492,INVENTARIO!$B$7:$B$26,0)),""),$G492))</f>
        <v/>
      </c>
      <c r="I492" s="114">
        <f>IF($D492="","",N($F492)*IF(ISNUMBER($H492),$H492,0))</f>
        <v/>
      </c>
      <c r="J492" s="115">
        <f>IF($D492="","",IFERROR(IF(INDEX(INVENTARIO!$O$7:$O$26,MATCH($D492,INVENTARIO!$B$7:$B$26,0))="",CFG_WALMART,INDEX(INVENTARIO!$O$7:$O$26,MATCH($D492,INVENTARIO!$B$7:$B$26,0))),CFG_WALMART))</f>
        <v/>
      </c>
      <c r="K492" s="112">
        <f>IF($D492="","",$I492*$J492)</f>
        <v/>
      </c>
      <c r="L492" s="129" t="n"/>
      <c r="M492" s="114">
        <f>IF($D492="","",$I492-$K492-N($L492))</f>
        <v/>
      </c>
      <c r="N492" s="113">
        <f>IF($D492="","",IFERROR(INDEX(INVENTARIO!$L$7:$L$26,MATCH($D492,INVENTARIO!$B$7:$B$26,0))*1,0))</f>
        <v/>
      </c>
      <c r="O492" s="112">
        <f>IF($D492="","",N($F492)*$N492)</f>
        <v/>
      </c>
      <c r="P492" s="114">
        <f>IF($D492="","",$M492-$O492)</f>
        <v/>
      </c>
      <c r="Q492" s="115">
        <f>IF($D492="","",IF($I492&gt;0,$P492/$I492,""))</f>
        <v/>
      </c>
      <c r="R492" s="127" t="n"/>
    </row>
    <row r="493">
      <c r="B493" s="130" t="n"/>
      <c r="C493" s="100" t="n"/>
      <c r="D493" s="100" t="n"/>
      <c r="E493" s="96">
        <f>IF($D493="","",IFERROR(INDEX(INVENTARIO!$C$7:$C$26,MATCH($D493,INVENTARIO!$B$7:$B$26,0)),"⚠ ID no existe"))</f>
        <v/>
      </c>
      <c r="F493" s="128" t="n"/>
      <c r="G493" s="129" t="n"/>
      <c r="H493" s="112">
        <f>IF($D493="","",IF($G493="",IFERROR(INDEX(INVENTARIO!$N$7:$N$26,MATCH($D493,INVENTARIO!$B$7:$B$26,0)),""),$G493))</f>
        <v/>
      </c>
      <c r="I493" s="114">
        <f>IF($D493="","",N($F493)*IF(ISNUMBER($H493),$H493,0))</f>
        <v/>
      </c>
      <c r="J493" s="115">
        <f>IF($D493="","",IFERROR(IF(INDEX(INVENTARIO!$O$7:$O$26,MATCH($D493,INVENTARIO!$B$7:$B$26,0))="",CFG_WALMART,INDEX(INVENTARIO!$O$7:$O$26,MATCH($D493,INVENTARIO!$B$7:$B$26,0))),CFG_WALMART))</f>
        <v/>
      </c>
      <c r="K493" s="112">
        <f>IF($D493="","",$I493*$J493)</f>
        <v/>
      </c>
      <c r="L493" s="129" t="n"/>
      <c r="M493" s="114">
        <f>IF($D493="","",$I493-$K493-N($L493))</f>
        <v/>
      </c>
      <c r="N493" s="113">
        <f>IF($D493="","",IFERROR(INDEX(INVENTARIO!$L$7:$L$26,MATCH($D493,INVENTARIO!$B$7:$B$26,0))*1,0))</f>
        <v/>
      </c>
      <c r="O493" s="112">
        <f>IF($D493="","",N($F493)*$N493)</f>
        <v/>
      </c>
      <c r="P493" s="114">
        <f>IF($D493="","",$M493-$O493)</f>
        <v/>
      </c>
      <c r="Q493" s="115">
        <f>IF($D493="","",IF($I493&gt;0,$P493/$I493,""))</f>
        <v/>
      </c>
      <c r="R493" s="127" t="n"/>
    </row>
    <row r="494">
      <c r="B494" s="130" t="n"/>
      <c r="C494" s="100" t="n"/>
      <c r="D494" s="100" t="n"/>
      <c r="E494" s="96">
        <f>IF($D494="","",IFERROR(INDEX(INVENTARIO!$C$7:$C$26,MATCH($D494,INVENTARIO!$B$7:$B$26,0)),"⚠ ID no existe"))</f>
        <v/>
      </c>
      <c r="F494" s="128" t="n"/>
      <c r="G494" s="129" t="n"/>
      <c r="H494" s="112">
        <f>IF($D494="","",IF($G494="",IFERROR(INDEX(INVENTARIO!$N$7:$N$26,MATCH($D494,INVENTARIO!$B$7:$B$26,0)),""),$G494))</f>
        <v/>
      </c>
      <c r="I494" s="114">
        <f>IF($D494="","",N($F494)*IF(ISNUMBER($H494),$H494,0))</f>
        <v/>
      </c>
      <c r="J494" s="115">
        <f>IF($D494="","",IFERROR(IF(INDEX(INVENTARIO!$O$7:$O$26,MATCH($D494,INVENTARIO!$B$7:$B$26,0))="",CFG_WALMART,INDEX(INVENTARIO!$O$7:$O$26,MATCH($D494,INVENTARIO!$B$7:$B$26,0))),CFG_WALMART))</f>
        <v/>
      </c>
      <c r="K494" s="112">
        <f>IF($D494="","",$I494*$J494)</f>
        <v/>
      </c>
      <c r="L494" s="129" t="n"/>
      <c r="M494" s="114">
        <f>IF($D494="","",$I494-$K494-N($L494))</f>
        <v/>
      </c>
      <c r="N494" s="113">
        <f>IF($D494="","",IFERROR(INDEX(INVENTARIO!$L$7:$L$26,MATCH($D494,INVENTARIO!$B$7:$B$26,0))*1,0))</f>
        <v/>
      </c>
      <c r="O494" s="112">
        <f>IF($D494="","",N($F494)*$N494)</f>
        <v/>
      </c>
      <c r="P494" s="114">
        <f>IF($D494="","",$M494-$O494)</f>
        <v/>
      </c>
      <c r="Q494" s="115">
        <f>IF($D494="","",IF($I494&gt;0,$P494/$I494,""))</f>
        <v/>
      </c>
      <c r="R494" s="127" t="n"/>
    </row>
    <row r="495">
      <c r="B495" s="130" t="n"/>
      <c r="C495" s="100" t="n"/>
      <c r="D495" s="100" t="n"/>
      <c r="E495" s="96">
        <f>IF($D495="","",IFERROR(INDEX(INVENTARIO!$C$7:$C$26,MATCH($D495,INVENTARIO!$B$7:$B$26,0)),"⚠ ID no existe"))</f>
        <v/>
      </c>
      <c r="F495" s="128" t="n"/>
      <c r="G495" s="129" t="n"/>
      <c r="H495" s="112">
        <f>IF($D495="","",IF($G495="",IFERROR(INDEX(INVENTARIO!$N$7:$N$26,MATCH($D495,INVENTARIO!$B$7:$B$26,0)),""),$G495))</f>
        <v/>
      </c>
      <c r="I495" s="114">
        <f>IF($D495="","",N($F495)*IF(ISNUMBER($H495),$H495,0))</f>
        <v/>
      </c>
      <c r="J495" s="115">
        <f>IF($D495="","",IFERROR(IF(INDEX(INVENTARIO!$O$7:$O$26,MATCH($D495,INVENTARIO!$B$7:$B$26,0))="",CFG_WALMART,INDEX(INVENTARIO!$O$7:$O$26,MATCH($D495,INVENTARIO!$B$7:$B$26,0))),CFG_WALMART))</f>
        <v/>
      </c>
      <c r="K495" s="112">
        <f>IF($D495="","",$I495*$J495)</f>
        <v/>
      </c>
      <c r="L495" s="129" t="n"/>
      <c r="M495" s="114">
        <f>IF($D495="","",$I495-$K495-N($L495))</f>
        <v/>
      </c>
      <c r="N495" s="113">
        <f>IF($D495="","",IFERROR(INDEX(INVENTARIO!$L$7:$L$26,MATCH($D495,INVENTARIO!$B$7:$B$26,0))*1,0))</f>
        <v/>
      </c>
      <c r="O495" s="112">
        <f>IF($D495="","",N($F495)*$N495)</f>
        <v/>
      </c>
      <c r="P495" s="114">
        <f>IF($D495="","",$M495-$O495)</f>
        <v/>
      </c>
      <c r="Q495" s="115">
        <f>IF($D495="","",IF($I495&gt;0,$P495/$I495,""))</f>
        <v/>
      </c>
      <c r="R495" s="127" t="n"/>
    </row>
    <row r="496">
      <c r="B496" s="130" t="n"/>
      <c r="C496" s="100" t="n"/>
      <c r="D496" s="100" t="n"/>
      <c r="E496" s="96">
        <f>IF($D496="","",IFERROR(INDEX(INVENTARIO!$C$7:$C$26,MATCH($D496,INVENTARIO!$B$7:$B$26,0)),"⚠ ID no existe"))</f>
        <v/>
      </c>
      <c r="F496" s="128" t="n"/>
      <c r="G496" s="129" t="n"/>
      <c r="H496" s="112">
        <f>IF($D496="","",IF($G496="",IFERROR(INDEX(INVENTARIO!$N$7:$N$26,MATCH($D496,INVENTARIO!$B$7:$B$26,0)),""),$G496))</f>
        <v/>
      </c>
      <c r="I496" s="114">
        <f>IF($D496="","",N($F496)*IF(ISNUMBER($H496),$H496,0))</f>
        <v/>
      </c>
      <c r="J496" s="115">
        <f>IF($D496="","",IFERROR(IF(INDEX(INVENTARIO!$O$7:$O$26,MATCH($D496,INVENTARIO!$B$7:$B$26,0))="",CFG_WALMART,INDEX(INVENTARIO!$O$7:$O$26,MATCH($D496,INVENTARIO!$B$7:$B$26,0))),CFG_WALMART))</f>
        <v/>
      </c>
      <c r="K496" s="112">
        <f>IF($D496="","",$I496*$J496)</f>
        <v/>
      </c>
      <c r="L496" s="129" t="n"/>
      <c r="M496" s="114">
        <f>IF($D496="","",$I496-$K496-N($L496))</f>
        <v/>
      </c>
      <c r="N496" s="113">
        <f>IF($D496="","",IFERROR(INDEX(INVENTARIO!$L$7:$L$26,MATCH($D496,INVENTARIO!$B$7:$B$26,0))*1,0))</f>
        <v/>
      </c>
      <c r="O496" s="112">
        <f>IF($D496="","",N($F496)*$N496)</f>
        <v/>
      </c>
      <c r="P496" s="114">
        <f>IF($D496="","",$M496-$O496)</f>
        <v/>
      </c>
      <c r="Q496" s="115">
        <f>IF($D496="","",IF($I496&gt;0,$P496/$I496,""))</f>
        <v/>
      </c>
      <c r="R496" s="127" t="n"/>
    </row>
    <row r="497">
      <c r="B497" s="130" t="n"/>
      <c r="C497" s="100" t="n"/>
      <c r="D497" s="100" t="n"/>
      <c r="E497" s="96">
        <f>IF($D497="","",IFERROR(INDEX(INVENTARIO!$C$7:$C$26,MATCH($D497,INVENTARIO!$B$7:$B$26,0)),"⚠ ID no existe"))</f>
        <v/>
      </c>
      <c r="F497" s="128" t="n"/>
      <c r="G497" s="129" t="n"/>
      <c r="H497" s="112">
        <f>IF($D497="","",IF($G497="",IFERROR(INDEX(INVENTARIO!$N$7:$N$26,MATCH($D497,INVENTARIO!$B$7:$B$26,0)),""),$G497))</f>
        <v/>
      </c>
      <c r="I497" s="114">
        <f>IF($D497="","",N($F497)*IF(ISNUMBER($H497),$H497,0))</f>
        <v/>
      </c>
      <c r="J497" s="115">
        <f>IF($D497="","",IFERROR(IF(INDEX(INVENTARIO!$O$7:$O$26,MATCH($D497,INVENTARIO!$B$7:$B$26,0))="",CFG_WALMART,INDEX(INVENTARIO!$O$7:$O$26,MATCH($D497,INVENTARIO!$B$7:$B$26,0))),CFG_WALMART))</f>
        <v/>
      </c>
      <c r="K497" s="112">
        <f>IF($D497="","",$I497*$J497)</f>
        <v/>
      </c>
      <c r="L497" s="129" t="n"/>
      <c r="M497" s="114">
        <f>IF($D497="","",$I497-$K497-N($L497))</f>
        <v/>
      </c>
      <c r="N497" s="113">
        <f>IF($D497="","",IFERROR(INDEX(INVENTARIO!$L$7:$L$26,MATCH($D497,INVENTARIO!$B$7:$B$26,0))*1,0))</f>
        <v/>
      </c>
      <c r="O497" s="112">
        <f>IF($D497="","",N($F497)*$N497)</f>
        <v/>
      </c>
      <c r="P497" s="114">
        <f>IF($D497="","",$M497-$O497)</f>
        <v/>
      </c>
      <c r="Q497" s="115">
        <f>IF($D497="","",IF($I497&gt;0,$P497/$I497,""))</f>
        <v/>
      </c>
      <c r="R497" s="127" t="n"/>
    </row>
    <row r="498">
      <c r="B498" s="130" t="n"/>
      <c r="C498" s="100" t="n"/>
      <c r="D498" s="100" t="n"/>
      <c r="E498" s="96">
        <f>IF($D498="","",IFERROR(INDEX(INVENTARIO!$C$7:$C$26,MATCH($D498,INVENTARIO!$B$7:$B$26,0)),"⚠ ID no existe"))</f>
        <v/>
      </c>
      <c r="F498" s="128" t="n"/>
      <c r="G498" s="129" t="n"/>
      <c r="H498" s="112">
        <f>IF($D498="","",IF($G498="",IFERROR(INDEX(INVENTARIO!$N$7:$N$26,MATCH($D498,INVENTARIO!$B$7:$B$26,0)),""),$G498))</f>
        <v/>
      </c>
      <c r="I498" s="114">
        <f>IF($D498="","",N($F498)*IF(ISNUMBER($H498),$H498,0))</f>
        <v/>
      </c>
      <c r="J498" s="115">
        <f>IF($D498="","",IFERROR(IF(INDEX(INVENTARIO!$O$7:$O$26,MATCH($D498,INVENTARIO!$B$7:$B$26,0))="",CFG_WALMART,INDEX(INVENTARIO!$O$7:$O$26,MATCH($D498,INVENTARIO!$B$7:$B$26,0))),CFG_WALMART))</f>
        <v/>
      </c>
      <c r="K498" s="112">
        <f>IF($D498="","",$I498*$J498)</f>
        <v/>
      </c>
      <c r="L498" s="129" t="n"/>
      <c r="M498" s="114">
        <f>IF($D498="","",$I498-$K498-N($L498))</f>
        <v/>
      </c>
      <c r="N498" s="113">
        <f>IF($D498="","",IFERROR(INDEX(INVENTARIO!$L$7:$L$26,MATCH($D498,INVENTARIO!$B$7:$B$26,0))*1,0))</f>
        <v/>
      </c>
      <c r="O498" s="112">
        <f>IF($D498="","",N($F498)*$N498)</f>
        <v/>
      </c>
      <c r="P498" s="114">
        <f>IF($D498="","",$M498-$O498)</f>
        <v/>
      </c>
      <c r="Q498" s="115">
        <f>IF($D498="","",IF($I498&gt;0,$P498/$I498,""))</f>
        <v/>
      </c>
      <c r="R498" s="127" t="n"/>
    </row>
    <row r="499">
      <c r="B499" s="130" t="n"/>
      <c r="C499" s="100" t="n"/>
      <c r="D499" s="100" t="n"/>
      <c r="E499" s="96">
        <f>IF($D499="","",IFERROR(INDEX(INVENTARIO!$C$7:$C$26,MATCH($D499,INVENTARIO!$B$7:$B$26,0)),"⚠ ID no existe"))</f>
        <v/>
      </c>
      <c r="F499" s="128" t="n"/>
      <c r="G499" s="129" t="n"/>
      <c r="H499" s="112">
        <f>IF($D499="","",IF($G499="",IFERROR(INDEX(INVENTARIO!$N$7:$N$26,MATCH($D499,INVENTARIO!$B$7:$B$26,0)),""),$G499))</f>
        <v/>
      </c>
      <c r="I499" s="114">
        <f>IF($D499="","",N($F499)*IF(ISNUMBER($H499),$H499,0))</f>
        <v/>
      </c>
      <c r="J499" s="115">
        <f>IF($D499="","",IFERROR(IF(INDEX(INVENTARIO!$O$7:$O$26,MATCH($D499,INVENTARIO!$B$7:$B$26,0))="",CFG_WALMART,INDEX(INVENTARIO!$O$7:$O$26,MATCH($D499,INVENTARIO!$B$7:$B$26,0))),CFG_WALMART))</f>
        <v/>
      </c>
      <c r="K499" s="112">
        <f>IF($D499="","",$I499*$J499)</f>
        <v/>
      </c>
      <c r="L499" s="129" t="n"/>
      <c r="M499" s="114">
        <f>IF($D499="","",$I499-$K499-N($L499))</f>
        <v/>
      </c>
      <c r="N499" s="113">
        <f>IF($D499="","",IFERROR(INDEX(INVENTARIO!$L$7:$L$26,MATCH($D499,INVENTARIO!$B$7:$B$26,0))*1,0))</f>
        <v/>
      </c>
      <c r="O499" s="112">
        <f>IF($D499="","",N($F499)*$N499)</f>
        <v/>
      </c>
      <c r="P499" s="114">
        <f>IF($D499="","",$M499-$O499)</f>
        <v/>
      </c>
      <c r="Q499" s="115">
        <f>IF($D499="","",IF($I499&gt;0,$P499/$I499,""))</f>
        <v/>
      </c>
      <c r="R499" s="127" t="n"/>
    </row>
    <row r="500">
      <c r="B500" s="130" t="n"/>
      <c r="C500" s="100" t="n"/>
      <c r="D500" s="100" t="n"/>
      <c r="E500" s="96">
        <f>IF($D500="","",IFERROR(INDEX(INVENTARIO!$C$7:$C$26,MATCH($D500,INVENTARIO!$B$7:$B$26,0)),"⚠ ID no existe"))</f>
        <v/>
      </c>
      <c r="F500" s="128" t="n"/>
      <c r="G500" s="129" t="n"/>
      <c r="H500" s="112">
        <f>IF($D500="","",IF($G500="",IFERROR(INDEX(INVENTARIO!$N$7:$N$26,MATCH($D500,INVENTARIO!$B$7:$B$26,0)),""),$G500))</f>
        <v/>
      </c>
      <c r="I500" s="114">
        <f>IF($D500="","",N($F500)*IF(ISNUMBER($H500),$H500,0))</f>
        <v/>
      </c>
      <c r="J500" s="115">
        <f>IF($D500="","",IFERROR(IF(INDEX(INVENTARIO!$O$7:$O$26,MATCH($D500,INVENTARIO!$B$7:$B$26,0))="",CFG_WALMART,INDEX(INVENTARIO!$O$7:$O$26,MATCH($D500,INVENTARIO!$B$7:$B$26,0))),CFG_WALMART))</f>
        <v/>
      </c>
      <c r="K500" s="112">
        <f>IF($D500="","",$I500*$J500)</f>
        <v/>
      </c>
      <c r="L500" s="129" t="n"/>
      <c r="M500" s="114">
        <f>IF($D500="","",$I500-$K500-N($L500))</f>
        <v/>
      </c>
      <c r="N500" s="113">
        <f>IF($D500="","",IFERROR(INDEX(INVENTARIO!$L$7:$L$26,MATCH($D500,INVENTARIO!$B$7:$B$26,0))*1,0))</f>
        <v/>
      </c>
      <c r="O500" s="112">
        <f>IF($D500="","",N($F500)*$N500)</f>
        <v/>
      </c>
      <c r="P500" s="114">
        <f>IF($D500="","",$M500-$O500)</f>
        <v/>
      </c>
      <c r="Q500" s="115">
        <f>IF($D500="","",IF($I500&gt;0,$P500/$I500,""))</f>
        <v/>
      </c>
      <c r="R500" s="127" t="n"/>
    </row>
    <row r="501">
      <c r="B501" s="130" t="n"/>
      <c r="C501" s="100" t="n"/>
      <c r="D501" s="100" t="n"/>
      <c r="E501" s="96">
        <f>IF($D501="","",IFERROR(INDEX(INVENTARIO!$C$7:$C$26,MATCH($D501,INVENTARIO!$B$7:$B$26,0)),"⚠ ID no existe"))</f>
        <v/>
      </c>
      <c r="F501" s="128" t="n"/>
      <c r="G501" s="129" t="n"/>
      <c r="H501" s="112">
        <f>IF($D501="","",IF($G501="",IFERROR(INDEX(INVENTARIO!$N$7:$N$26,MATCH($D501,INVENTARIO!$B$7:$B$26,0)),""),$G501))</f>
        <v/>
      </c>
      <c r="I501" s="114">
        <f>IF($D501="","",N($F501)*IF(ISNUMBER($H501),$H501,0))</f>
        <v/>
      </c>
      <c r="J501" s="115">
        <f>IF($D501="","",IFERROR(IF(INDEX(INVENTARIO!$O$7:$O$26,MATCH($D501,INVENTARIO!$B$7:$B$26,0))="",CFG_WALMART,INDEX(INVENTARIO!$O$7:$O$26,MATCH($D501,INVENTARIO!$B$7:$B$26,0))),CFG_WALMART))</f>
        <v/>
      </c>
      <c r="K501" s="112">
        <f>IF($D501="","",$I501*$J501)</f>
        <v/>
      </c>
      <c r="L501" s="129" t="n"/>
      <c r="M501" s="114">
        <f>IF($D501="","",$I501-$K501-N($L501))</f>
        <v/>
      </c>
      <c r="N501" s="113">
        <f>IF($D501="","",IFERROR(INDEX(INVENTARIO!$L$7:$L$26,MATCH($D501,INVENTARIO!$B$7:$B$26,0))*1,0))</f>
        <v/>
      </c>
      <c r="O501" s="112">
        <f>IF($D501="","",N($F501)*$N501)</f>
        <v/>
      </c>
      <c r="P501" s="114">
        <f>IF($D501="","",$M501-$O501)</f>
        <v/>
      </c>
      <c r="Q501" s="115">
        <f>IF($D501="","",IF($I501&gt;0,$P501/$I501,""))</f>
        <v/>
      </c>
      <c r="R501" s="127" t="n"/>
    </row>
    <row r="502">
      <c r="B502" s="130" t="n"/>
      <c r="C502" s="100" t="n"/>
      <c r="D502" s="100" t="n"/>
      <c r="E502" s="96">
        <f>IF($D502="","",IFERROR(INDEX(INVENTARIO!$C$7:$C$26,MATCH($D502,INVENTARIO!$B$7:$B$26,0)),"⚠ ID no existe"))</f>
        <v/>
      </c>
      <c r="F502" s="128" t="n"/>
      <c r="G502" s="129" t="n"/>
      <c r="H502" s="112">
        <f>IF($D502="","",IF($G502="",IFERROR(INDEX(INVENTARIO!$N$7:$N$26,MATCH($D502,INVENTARIO!$B$7:$B$26,0)),""),$G502))</f>
        <v/>
      </c>
      <c r="I502" s="114">
        <f>IF($D502="","",N($F502)*IF(ISNUMBER($H502),$H502,0))</f>
        <v/>
      </c>
      <c r="J502" s="115">
        <f>IF($D502="","",IFERROR(IF(INDEX(INVENTARIO!$O$7:$O$26,MATCH($D502,INVENTARIO!$B$7:$B$26,0))="",CFG_WALMART,INDEX(INVENTARIO!$O$7:$O$26,MATCH($D502,INVENTARIO!$B$7:$B$26,0))),CFG_WALMART))</f>
        <v/>
      </c>
      <c r="K502" s="112">
        <f>IF($D502="","",$I502*$J502)</f>
        <v/>
      </c>
      <c r="L502" s="129" t="n"/>
      <c r="M502" s="114">
        <f>IF($D502="","",$I502-$K502-N($L502))</f>
        <v/>
      </c>
      <c r="N502" s="113">
        <f>IF($D502="","",IFERROR(INDEX(INVENTARIO!$L$7:$L$26,MATCH($D502,INVENTARIO!$B$7:$B$26,0))*1,0))</f>
        <v/>
      </c>
      <c r="O502" s="112">
        <f>IF($D502="","",N($F502)*$N502)</f>
        <v/>
      </c>
      <c r="P502" s="114">
        <f>IF($D502="","",$M502-$O502)</f>
        <v/>
      </c>
      <c r="Q502" s="115">
        <f>IF($D502="","",IF($I502&gt;0,$P502/$I502,""))</f>
        <v/>
      </c>
      <c r="R502" s="127" t="n"/>
    </row>
    <row r="503">
      <c r="B503" s="130" t="n"/>
      <c r="C503" s="100" t="n"/>
      <c r="D503" s="100" t="n"/>
      <c r="E503" s="96">
        <f>IF($D503="","",IFERROR(INDEX(INVENTARIO!$C$7:$C$26,MATCH($D503,INVENTARIO!$B$7:$B$26,0)),"⚠ ID no existe"))</f>
        <v/>
      </c>
      <c r="F503" s="128" t="n"/>
      <c r="G503" s="129" t="n"/>
      <c r="H503" s="112">
        <f>IF($D503="","",IF($G503="",IFERROR(INDEX(INVENTARIO!$N$7:$N$26,MATCH($D503,INVENTARIO!$B$7:$B$26,0)),""),$G503))</f>
        <v/>
      </c>
      <c r="I503" s="114">
        <f>IF($D503="","",N($F503)*IF(ISNUMBER($H503),$H503,0))</f>
        <v/>
      </c>
      <c r="J503" s="115">
        <f>IF($D503="","",IFERROR(IF(INDEX(INVENTARIO!$O$7:$O$26,MATCH($D503,INVENTARIO!$B$7:$B$26,0))="",CFG_WALMART,INDEX(INVENTARIO!$O$7:$O$26,MATCH($D503,INVENTARIO!$B$7:$B$26,0))),CFG_WALMART))</f>
        <v/>
      </c>
      <c r="K503" s="112">
        <f>IF($D503="","",$I503*$J503)</f>
        <v/>
      </c>
      <c r="L503" s="129" t="n"/>
      <c r="M503" s="114">
        <f>IF($D503="","",$I503-$K503-N($L503))</f>
        <v/>
      </c>
      <c r="N503" s="113">
        <f>IF($D503="","",IFERROR(INDEX(INVENTARIO!$L$7:$L$26,MATCH($D503,INVENTARIO!$B$7:$B$26,0))*1,0))</f>
        <v/>
      </c>
      <c r="O503" s="112">
        <f>IF($D503="","",N($F503)*$N503)</f>
        <v/>
      </c>
      <c r="P503" s="114">
        <f>IF($D503="","",$M503-$O503)</f>
        <v/>
      </c>
      <c r="Q503" s="115">
        <f>IF($D503="","",IF($I503&gt;0,$P503/$I503,""))</f>
        <v/>
      </c>
      <c r="R503" s="127" t="n"/>
    </row>
    <row r="504">
      <c r="B504" s="130" t="n"/>
      <c r="C504" s="100" t="n"/>
      <c r="D504" s="100" t="n"/>
      <c r="E504" s="96">
        <f>IF($D504="","",IFERROR(INDEX(INVENTARIO!$C$7:$C$26,MATCH($D504,INVENTARIO!$B$7:$B$26,0)),"⚠ ID no existe"))</f>
        <v/>
      </c>
      <c r="F504" s="128" t="n"/>
      <c r="G504" s="129" t="n"/>
      <c r="H504" s="112">
        <f>IF($D504="","",IF($G504="",IFERROR(INDEX(INVENTARIO!$N$7:$N$26,MATCH($D504,INVENTARIO!$B$7:$B$26,0)),""),$G504))</f>
        <v/>
      </c>
      <c r="I504" s="114">
        <f>IF($D504="","",N($F504)*IF(ISNUMBER($H504),$H504,0))</f>
        <v/>
      </c>
      <c r="J504" s="115">
        <f>IF($D504="","",IFERROR(IF(INDEX(INVENTARIO!$O$7:$O$26,MATCH($D504,INVENTARIO!$B$7:$B$26,0))="",CFG_WALMART,INDEX(INVENTARIO!$O$7:$O$26,MATCH($D504,INVENTARIO!$B$7:$B$26,0))),CFG_WALMART))</f>
        <v/>
      </c>
      <c r="K504" s="112">
        <f>IF($D504="","",$I504*$J504)</f>
        <v/>
      </c>
      <c r="L504" s="129" t="n"/>
      <c r="M504" s="114">
        <f>IF($D504="","",$I504-$K504-N($L504))</f>
        <v/>
      </c>
      <c r="N504" s="113">
        <f>IF($D504="","",IFERROR(INDEX(INVENTARIO!$L$7:$L$26,MATCH($D504,INVENTARIO!$B$7:$B$26,0))*1,0))</f>
        <v/>
      </c>
      <c r="O504" s="112">
        <f>IF($D504="","",N($F504)*$N504)</f>
        <v/>
      </c>
      <c r="P504" s="114">
        <f>IF($D504="","",$M504-$O504)</f>
        <v/>
      </c>
      <c r="Q504" s="115">
        <f>IF($D504="","",IF($I504&gt;0,$P504/$I504,""))</f>
        <v/>
      </c>
      <c r="R504" s="127" t="n"/>
    </row>
    <row r="505">
      <c r="B505" s="130" t="n"/>
      <c r="C505" s="100" t="n"/>
      <c r="D505" s="100" t="n"/>
      <c r="E505" s="96">
        <f>IF($D505="","",IFERROR(INDEX(INVENTARIO!$C$7:$C$26,MATCH($D505,INVENTARIO!$B$7:$B$26,0)),"⚠ ID no existe"))</f>
        <v/>
      </c>
      <c r="F505" s="128" t="n"/>
      <c r="G505" s="129" t="n"/>
      <c r="H505" s="112">
        <f>IF($D505="","",IF($G505="",IFERROR(INDEX(INVENTARIO!$N$7:$N$26,MATCH($D505,INVENTARIO!$B$7:$B$26,0)),""),$G505))</f>
        <v/>
      </c>
      <c r="I505" s="114">
        <f>IF($D505="","",N($F505)*IF(ISNUMBER($H505),$H505,0))</f>
        <v/>
      </c>
      <c r="J505" s="115">
        <f>IF($D505="","",IFERROR(IF(INDEX(INVENTARIO!$O$7:$O$26,MATCH($D505,INVENTARIO!$B$7:$B$26,0))="",CFG_WALMART,INDEX(INVENTARIO!$O$7:$O$26,MATCH($D505,INVENTARIO!$B$7:$B$26,0))),CFG_WALMART))</f>
        <v/>
      </c>
      <c r="K505" s="112">
        <f>IF($D505="","",$I505*$J505)</f>
        <v/>
      </c>
      <c r="L505" s="129" t="n"/>
      <c r="M505" s="114">
        <f>IF($D505="","",$I505-$K505-N($L505))</f>
        <v/>
      </c>
      <c r="N505" s="113">
        <f>IF($D505="","",IFERROR(INDEX(INVENTARIO!$L$7:$L$26,MATCH($D505,INVENTARIO!$B$7:$B$26,0))*1,0))</f>
        <v/>
      </c>
      <c r="O505" s="112">
        <f>IF($D505="","",N($F505)*$N505)</f>
        <v/>
      </c>
      <c r="P505" s="114">
        <f>IF($D505="","",$M505-$O505)</f>
        <v/>
      </c>
      <c r="Q505" s="115">
        <f>IF($D505="","",IF($I505&gt;0,$P505/$I505,""))</f>
        <v/>
      </c>
      <c r="R505" s="127" t="n"/>
    </row>
    <row r="506">
      <c r="B506" s="123" t="inlineStr">
        <is>
          <t>TOTAL</t>
        </is>
      </c>
      <c r="C506" s="123" t="n"/>
      <c r="D506" s="123" t="n"/>
      <c r="E506" s="123" t="n"/>
      <c r="F506" s="122">
        <f>SUM(F6:F505)</f>
        <v/>
      </c>
      <c r="G506" s="123" t="n"/>
      <c r="H506" s="123" t="n"/>
      <c r="I506" s="123">
        <f>SUM(I6:I505)</f>
        <v/>
      </c>
      <c r="J506" s="123" t="n"/>
      <c r="K506" s="123">
        <f>SUM(K6:K505)</f>
        <v/>
      </c>
      <c r="L506" s="123">
        <f>SUM(L6:L505)</f>
        <v/>
      </c>
      <c r="M506" s="123">
        <f>SUM(M6:M505)</f>
        <v/>
      </c>
      <c r="N506" s="123" t="n"/>
      <c r="O506" s="123">
        <f>SUM(O6:O505)</f>
        <v/>
      </c>
      <c r="P506" s="123">
        <f>SUM(P6:P505)</f>
        <v/>
      </c>
      <c r="Q506" s="131">
        <f>IF(I506&gt;0,P506/I506,0)</f>
        <v/>
      </c>
      <c r="R506" s="123" t="n"/>
    </row>
  </sheetData>
  <autoFilter ref="B5:R505"/>
  <conditionalFormatting sqref="P6:P505">
    <cfRule type="cellIs" priority="1" operator="lessThan" dxfId="14">
      <formula>0</formula>
    </cfRule>
  </conditionalFormatting>
  <conditionalFormatting sqref="I6:I505">
    <cfRule type="expression" priority="2" dxfId="13">
      <formula>AND($D6&lt;&gt;"",N($I6)=0)</formula>
    </cfRule>
  </conditionalFormatting>
  <dataValidations count="3">
    <dataValidation sqref="D6:D505" showDropDown="0" showInputMessage="0" showErrorMessage="0" allowBlank="1" type="list">
      <formula1>=INVENTARIO!$B$7:$B$26</formula1>
    </dataValidation>
    <dataValidation sqref="F6:F505" showDropDown="0" showInputMessage="0" showErrorMessage="0" allowBlank="1" error="La cantidad debe ser un número entero mayor que 0." type="whole" operator="greaterThan">
      <formula1>0</formula1>
    </dataValidation>
    <dataValidation sqref="B6:B505" showDropDown="0" showInputMessage="0" showErrorMessage="0" allowBlank="1" error="Capture una fecha válida (dd/mm/aaaa)." type="date" operator="greaterThan">
      <formula1>DATE(2020,1,1)</formula1>
    </dataValidation>
  </dataValidations>
  <printOptions horizontalCentered="1"/>
  <pageMargins left="0.4" right="0.4" top="1" bottom="1" header="0.5" footer="0.5"/>
  <pageSetup orientation="landscape" fitToHeight="0" fitToWidth="1"/>
  <headerFooter>
    <oddHeader/>
    <oddFooter>&amp;C&amp;8 COTIMIX · Sistema de control financiero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0E9F8A"/>
    <outlinePr summaryBelow="1" summaryRight="1"/>
    <pageSetUpPr fitToPage="1"/>
  </sheetPr>
  <dimension ref="A1:L306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2" customWidth="1" min="2" max="2"/>
    <col width="28" customWidth="1" min="3" max="3"/>
    <col width="32" customWidth="1" min="4" max="4"/>
    <col width="18" customWidth="1" min="5" max="5"/>
    <col width="22" customWidth="1" min="6" max="6"/>
    <col width="13" customWidth="1" min="7" max="7"/>
    <col width="11" customWidth="1" min="8" max="8"/>
    <col width="12" customWidth="1" min="9" max="9"/>
    <col width="14" customWidth="1" min="10" max="10"/>
    <col width="30" customWidth="1" min="11" max="11"/>
  </cols>
  <sheetData>
    <row r="1" ht="34" customHeight="1">
      <c r="A1" s="1" t="n"/>
      <c r="B1" s="2" t="inlineStr">
        <is>
          <t>COTIMIX · REGISTRO DE GASTOS OPERATIVOS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1" t="n"/>
      <c r="B2" s="3" t="inlineStr">
        <is>
          <t>Publicidad, envíos, empaques, suscripciones, etc. Pagos con Citi suman automáticamente el 2.9%.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B4" s="126" t="inlineStr">
        <is>
          <t>'Descontado por Walmart' = cargos que Walmart resta de su liquidación (no salen del banco).</t>
        </is>
      </c>
    </row>
    <row r="5" ht="32" customHeight="1">
      <c r="B5" s="95" t="inlineStr">
        <is>
          <t>Fecha</t>
        </is>
      </c>
      <c r="C5" s="95" t="inlineStr">
        <is>
          <t>Categoría</t>
        </is>
      </c>
      <c r="D5" s="95" t="inlineStr">
        <is>
          <t>Descripción</t>
        </is>
      </c>
      <c r="E5" s="95" t="inlineStr">
        <is>
          <t>Proveedor</t>
        </is>
      </c>
      <c r="F5" s="95" t="inlineStr">
        <is>
          <t>Método de pago</t>
        </is>
      </c>
      <c r="G5" s="95" t="inlineStr">
        <is>
          <t>Monto</t>
        </is>
      </c>
      <c r="H5" s="95" t="inlineStr">
        <is>
          <t>Recargo
tarjeta %</t>
        </is>
      </c>
      <c r="I5" s="95" t="inlineStr">
        <is>
          <t>Recargo
tarjeta $</t>
        </is>
      </c>
      <c r="J5" s="95" t="inlineStr">
        <is>
          <t>TOTAL REAL</t>
        </is>
      </c>
      <c r="K5" s="95" t="inlineStr">
        <is>
          <t>Notas</t>
        </is>
      </c>
    </row>
    <row r="6">
      <c r="B6" s="132" t="n"/>
      <c r="C6" s="107" t="n"/>
      <c r="D6" s="107" t="n"/>
      <c r="E6" s="107" t="n"/>
      <c r="F6" s="107" t="n"/>
      <c r="G6" s="133" t="n"/>
      <c r="H6" s="115">
        <f>IF(N($G6)=0,"",IF($F6="Tarjeta Citi",CFG_CITI,0))</f>
        <v/>
      </c>
      <c r="I6" s="112">
        <f>IF(N($G6)=0,"",$G6*$H6)</f>
        <v/>
      </c>
      <c r="J6" s="114">
        <f>IF(N($G6)=0,"",$G6+$I6)</f>
        <v/>
      </c>
      <c r="K6" s="107" t="n"/>
    </row>
    <row r="7">
      <c r="B7" s="132" t="n"/>
      <c r="C7" s="107" t="n"/>
      <c r="D7" s="107" t="n"/>
      <c r="E7" s="107" t="n"/>
      <c r="F7" s="107" t="n"/>
      <c r="G7" s="133" t="n"/>
      <c r="H7" s="115">
        <f>IF(N($G7)=0,"",IF($F7="Tarjeta Citi",CFG_CITI,0))</f>
        <v/>
      </c>
      <c r="I7" s="112">
        <f>IF(N($G7)=0,"",$G7*$H7)</f>
        <v/>
      </c>
      <c r="J7" s="114">
        <f>IF(N($G7)=0,"",$G7+$I7)</f>
        <v/>
      </c>
      <c r="K7" s="107" t="n"/>
    </row>
    <row r="8">
      <c r="B8" s="132" t="n"/>
      <c r="C8" s="107" t="n"/>
      <c r="D8" s="107" t="n"/>
      <c r="E8" s="107" t="n"/>
      <c r="F8" s="107" t="n"/>
      <c r="G8" s="133" t="n"/>
      <c r="H8" s="115">
        <f>IF(N($G8)=0,"",IF($F8="Tarjeta Citi",CFG_CITI,0))</f>
        <v/>
      </c>
      <c r="I8" s="112">
        <f>IF(N($G8)=0,"",$G8*$H8)</f>
        <v/>
      </c>
      <c r="J8" s="114">
        <f>IF(N($G8)=0,"",$G8+$I8)</f>
        <v/>
      </c>
      <c r="K8" s="107" t="n"/>
    </row>
    <row r="9">
      <c r="B9" s="132" t="n"/>
      <c r="C9" s="107" t="n"/>
      <c r="D9" s="107" t="n"/>
      <c r="E9" s="107" t="n"/>
      <c r="F9" s="107" t="n"/>
      <c r="G9" s="133" t="n"/>
      <c r="H9" s="115">
        <f>IF(N($G9)=0,"",IF($F9="Tarjeta Citi",CFG_CITI,0))</f>
        <v/>
      </c>
      <c r="I9" s="112">
        <f>IF(N($G9)=0,"",$G9*$H9)</f>
        <v/>
      </c>
      <c r="J9" s="114">
        <f>IF(N($G9)=0,"",$G9+$I9)</f>
        <v/>
      </c>
      <c r="K9" s="107" t="n"/>
    </row>
    <row r="10">
      <c r="B10" s="132" t="n"/>
      <c r="C10" s="107" t="n"/>
      <c r="D10" s="107" t="n"/>
      <c r="E10" s="107" t="n"/>
      <c r="F10" s="107" t="n"/>
      <c r="G10" s="133" t="n"/>
      <c r="H10" s="115">
        <f>IF(N($G10)=0,"",IF($F10="Tarjeta Citi",CFG_CITI,0))</f>
        <v/>
      </c>
      <c r="I10" s="112">
        <f>IF(N($G10)=0,"",$G10*$H10)</f>
        <v/>
      </c>
      <c r="J10" s="114">
        <f>IF(N($G10)=0,"",$G10+$I10)</f>
        <v/>
      </c>
      <c r="K10" s="107" t="n"/>
    </row>
    <row r="11">
      <c r="B11" s="132" t="n"/>
      <c r="C11" s="107" t="n"/>
      <c r="D11" s="107" t="n"/>
      <c r="E11" s="107" t="n"/>
      <c r="F11" s="107" t="n"/>
      <c r="G11" s="133" t="n"/>
      <c r="H11" s="115">
        <f>IF(N($G11)=0,"",IF($F11="Tarjeta Citi",CFG_CITI,0))</f>
        <v/>
      </c>
      <c r="I11" s="112">
        <f>IF(N($G11)=0,"",$G11*$H11)</f>
        <v/>
      </c>
      <c r="J11" s="114">
        <f>IF(N($G11)=0,"",$G11+$I11)</f>
        <v/>
      </c>
      <c r="K11" s="107" t="n"/>
    </row>
    <row r="12">
      <c r="B12" s="132" t="n"/>
      <c r="C12" s="107" t="n"/>
      <c r="D12" s="107" t="n"/>
      <c r="E12" s="107" t="n"/>
      <c r="F12" s="107" t="n"/>
      <c r="G12" s="133" t="n"/>
      <c r="H12" s="115">
        <f>IF(N($G12)=0,"",IF($F12="Tarjeta Citi",CFG_CITI,0))</f>
        <v/>
      </c>
      <c r="I12" s="112">
        <f>IF(N($G12)=0,"",$G12*$H12)</f>
        <v/>
      </c>
      <c r="J12" s="114">
        <f>IF(N($G12)=0,"",$G12+$I12)</f>
        <v/>
      </c>
      <c r="K12" s="107" t="n"/>
    </row>
    <row r="13">
      <c r="B13" s="132" t="n"/>
      <c r="C13" s="107" t="n"/>
      <c r="D13" s="107" t="n"/>
      <c r="E13" s="107" t="n"/>
      <c r="F13" s="107" t="n"/>
      <c r="G13" s="133" t="n"/>
      <c r="H13" s="115">
        <f>IF(N($G13)=0,"",IF($F13="Tarjeta Citi",CFG_CITI,0))</f>
        <v/>
      </c>
      <c r="I13" s="112">
        <f>IF(N($G13)=0,"",$G13*$H13)</f>
        <v/>
      </c>
      <c r="J13" s="114">
        <f>IF(N($G13)=0,"",$G13+$I13)</f>
        <v/>
      </c>
      <c r="K13" s="107" t="n"/>
    </row>
    <row r="14">
      <c r="B14" s="132" t="n"/>
      <c r="C14" s="107" t="n"/>
      <c r="D14" s="107" t="n"/>
      <c r="E14" s="107" t="n"/>
      <c r="F14" s="107" t="n"/>
      <c r="G14" s="133" t="n"/>
      <c r="H14" s="115">
        <f>IF(N($G14)=0,"",IF($F14="Tarjeta Citi",CFG_CITI,0))</f>
        <v/>
      </c>
      <c r="I14" s="112">
        <f>IF(N($G14)=0,"",$G14*$H14)</f>
        <v/>
      </c>
      <c r="J14" s="114">
        <f>IF(N($G14)=0,"",$G14+$I14)</f>
        <v/>
      </c>
      <c r="K14" s="107" t="n"/>
    </row>
    <row r="15">
      <c r="B15" s="132" t="n"/>
      <c r="C15" s="107" t="n"/>
      <c r="D15" s="107" t="n"/>
      <c r="E15" s="107" t="n"/>
      <c r="F15" s="107" t="n"/>
      <c r="G15" s="133" t="n"/>
      <c r="H15" s="115">
        <f>IF(N($G15)=0,"",IF($F15="Tarjeta Citi",CFG_CITI,0))</f>
        <v/>
      </c>
      <c r="I15" s="112">
        <f>IF(N($G15)=0,"",$G15*$H15)</f>
        <v/>
      </c>
      <c r="J15" s="114">
        <f>IF(N($G15)=0,"",$G15+$I15)</f>
        <v/>
      </c>
      <c r="K15" s="107" t="n"/>
    </row>
    <row r="16">
      <c r="B16" s="132" t="n"/>
      <c r="C16" s="107" t="n"/>
      <c r="D16" s="107" t="n"/>
      <c r="E16" s="107" t="n"/>
      <c r="F16" s="107" t="n"/>
      <c r="G16" s="133" t="n"/>
      <c r="H16" s="115">
        <f>IF(N($G16)=0,"",IF($F16="Tarjeta Citi",CFG_CITI,0))</f>
        <v/>
      </c>
      <c r="I16" s="112">
        <f>IF(N($G16)=0,"",$G16*$H16)</f>
        <v/>
      </c>
      <c r="J16" s="114">
        <f>IF(N($G16)=0,"",$G16+$I16)</f>
        <v/>
      </c>
      <c r="K16" s="107" t="n"/>
    </row>
    <row r="17">
      <c r="B17" s="132" t="n"/>
      <c r="C17" s="107" t="n"/>
      <c r="D17" s="107" t="n"/>
      <c r="E17" s="107" t="n"/>
      <c r="F17" s="107" t="n"/>
      <c r="G17" s="133" t="n"/>
      <c r="H17" s="115">
        <f>IF(N($G17)=0,"",IF($F17="Tarjeta Citi",CFG_CITI,0))</f>
        <v/>
      </c>
      <c r="I17" s="112">
        <f>IF(N($G17)=0,"",$G17*$H17)</f>
        <v/>
      </c>
      <c r="J17" s="114">
        <f>IF(N($G17)=0,"",$G17+$I17)</f>
        <v/>
      </c>
      <c r="K17" s="107" t="n"/>
    </row>
    <row r="18">
      <c r="B18" s="132" t="n"/>
      <c r="C18" s="107" t="n"/>
      <c r="D18" s="107" t="n"/>
      <c r="E18" s="107" t="n"/>
      <c r="F18" s="107" t="n"/>
      <c r="G18" s="133" t="n"/>
      <c r="H18" s="115">
        <f>IF(N($G18)=0,"",IF($F18="Tarjeta Citi",CFG_CITI,0))</f>
        <v/>
      </c>
      <c r="I18" s="112">
        <f>IF(N($G18)=0,"",$G18*$H18)</f>
        <v/>
      </c>
      <c r="J18" s="114">
        <f>IF(N($G18)=0,"",$G18+$I18)</f>
        <v/>
      </c>
      <c r="K18" s="107" t="n"/>
    </row>
    <row r="19">
      <c r="B19" s="132" t="n"/>
      <c r="C19" s="107" t="n"/>
      <c r="D19" s="107" t="n"/>
      <c r="E19" s="107" t="n"/>
      <c r="F19" s="107" t="n"/>
      <c r="G19" s="133" t="n"/>
      <c r="H19" s="115">
        <f>IF(N($G19)=0,"",IF($F19="Tarjeta Citi",CFG_CITI,0))</f>
        <v/>
      </c>
      <c r="I19" s="112">
        <f>IF(N($G19)=0,"",$G19*$H19)</f>
        <v/>
      </c>
      <c r="J19" s="114">
        <f>IF(N($G19)=0,"",$G19+$I19)</f>
        <v/>
      </c>
      <c r="K19" s="107" t="n"/>
    </row>
    <row r="20">
      <c r="B20" s="132" t="n"/>
      <c r="C20" s="107" t="n"/>
      <c r="D20" s="107" t="n"/>
      <c r="E20" s="107" t="n"/>
      <c r="F20" s="107" t="n"/>
      <c r="G20" s="133" t="n"/>
      <c r="H20" s="115">
        <f>IF(N($G20)=0,"",IF($F20="Tarjeta Citi",CFG_CITI,0))</f>
        <v/>
      </c>
      <c r="I20" s="112">
        <f>IF(N($G20)=0,"",$G20*$H20)</f>
        <v/>
      </c>
      <c r="J20" s="114">
        <f>IF(N($G20)=0,"",$G20+$I20)</f>
        <v/>
      </c>
      <c r="K20" s="107" t="n"/>
    </row>
    <row r="21">
      <c r="B21" s="132" t="n"/>
      <c r="C21" s="107" t="n"/>
      <c r="D21" s="107" t="n"/>
      <c r="E21" s="107" t="n"/>
      <c r="F21" s="107" t="n"/>
      <c r="G21" s="133" t="n"/>
      <c r="H21" s="115">
        <f>IF(N($G21)=0,"",IF($F21="Tarjeta Citi",CFG_CITI,0))</f>
        <v/>
      </c>
      <c r="I21" s="112">
        <f>IF(N($G21)=0,"",$G21*$H21)</f>
        <v/>
      </c>
      <c r="J21" s="114">
        <f>IF(N($G21)=0,"",$G21+$I21)</f>
        <v/>
      </c>
      <c r="K21" s="107" t="n"/>
    </row>
    <row r="22">
      <c r="B22" s="132" t="n"/>
      <c r="C22" s="107" t="n"/>
      <c r="D22" s="107" t="n"/>
      <c r="E22" s="107" t="n"/>
      <c r="F22" s="107" t="n"/>
      <c r="G22" s="133" t="n"/>
      <c r="H22" s="115">
        <f>IF(N($G22)=0,"",IF($F22="Tarjeta Citi",CFG_CITI,0))</f>
        <v/>
      </c>
      <c r="I22" s="112">
        <f>IF(N($G22)=0,"",$G22*$H22)</f>
        <v/>
      </c>
      <c r="J22" s="114">
        <f>IF(N($G22)=0,"",$G22+$I22)</f>
        <v/>
      </c>
      <c r="K22" s="107" t="n"/>
    </row>
    <row r="23">
      <c r="B23" s="132" t="n"/>
      <c r="C23" s="107" t="n"/>
      <c r="D23" s="107" t="n"/>
      <c r="E23" s="107" t="n"/>
      <c r="F23" s="107" t="n"/>
      <c r="G23" s="133" t="n"/>
      <c r="H23" s="115">
        <f>IF(N($G23)=0,"",IF($F23="Tarjeta Citi",CFG_CITI,0))</f>
        <v/>
      </c>
      <c r="I23" s="112">
        <f>IF(N($G23)=0,"",$G23*$H23)</f>
        <v/>
      </c>
      <c r="J23" s="114">
        <f>IF(N($G23)=0,"",$G23+$I23)</f>
        <v/>
      </c>
      <c r="K23" s="107" t="n"/>
    </row>
    <row r="24">
      <c r="B24" s="132" t="n"/>
      <c r="C24" s="107" t="n"/>
      <c r="D24" s="107" t="n"/>
      <c r="E24" s="107" t="n"/>
      <c r="F24" s="107" t="n"/>
      <c r="G24" s="133" t="n"/>
      <c r="H24" s="115">
        <f>IF(N($G24)=0,"",IF($F24="Tarjeta Citi",CFG_CITI,0))</f>
        <v/>
      </c>
      <c r="I24" s="112">
        <f>IF(N($G24)=0,"",$G24*$H24)</f>
        <v/>
      </c>
      <c r="J24" s="114">
        <f>IF(N($G24)=0,"",$G24+$I24)</f>
        <v/>
      </c>
      <c r="K24" s="107" t="n"/>
    </row>
    <row r="25">
      <c r="B25" s="132" t="n"/>
      <c r="C25" s="107" t="n"/>
      <c r="D25" s="107" t="n"/>
      <c r="E25" s="107" t="n"/>
      <c r="F25" s="107" t="n"/>
      <c r="G25" s="133" t="n"/>
      <c r="H25" s="115">
        <f>IF(N($G25)=0,"",IF($F25="Tarjeta Citi",CFG_CITI,0))</f>
        <v/>
      </c>
      <c r="I25" s="112">
        <f>IF(N($G25)=0,"",$G25*$H25)</f>
        <v/>
      </c>
      <c r="J25" s="114">
        <f>IF(N($G25)=0,"",$G25+$I25)</f>
        <v/>
      </c>
      <c r="K25" s="107" t="n"/>
    </row>
    <row r="26">
      <c r="B26" s="132" t="n"/>
      <c r="C26" s="107" t="n"/>
      <c r="D26" s="107" t="n"/>
      <c r="E26" s="107" t="n"/>
      <c r="F26" s="107" t="n"/>
      <c r="G26" s="133" t="n"/>
      <c r="H26" s="115">
        <f>IF(N($G26)=0,"",IF($F26="Tarjeta Citi",CFG_CITI,0))</f>
        <v/>
      </c>
      <c r="I26" s="112">
        <f>IF(N($G26)=0,"",$G26*$H26)</f>
        <v/>
      </c>
      <c r="J26" s="114">
        <f>IF(N($G26)=0,"",$G26+$I26)</f>
        <v/>
      </c>
      <c r="K26" s="107" t="n"/>
    </row>
    <row r="27">
      <c r="B27" s="132" t="n"/>
      <c r="C27" s="107" t="n"/>
      <c r="D27" s="107" t="n"/>
      <c r="E27" s="107" t="n"/>
      <c r="F27" s="107" t="n"/>
      <c r="G27" s="133" t="n"/>
      <c r="H27" s="115">
        <f>IF(N($G27)=0,"",IF($F27="Tarjeta Citi",CFG_CITI,0))</f>
        <v/>
      </c>
      <c r="I27" s="112">
        <f>IF(N($G27)=0,"",$G27*$H27)</f>
        <v/>
      </c>
      <c r="J27" s="114">
        <f>IF(N($G27)=0,"",$G27+$I27)</f>
        <v/>
      </c>
      <c r="K27" s="107" t="n"/>
    </row>
    <row r="28">
      <c r="B28" s="132" t="n"/>
      <c r="C28" s="107" t="n"/>
      <c r="D28" s="107" t="n"/>
      <c r="E28" s="107" t="n"/>
      <c r="F28" s="107" t="n"/>
      <c r="G28" s="133" t="n"/>
      <c r="H28" s="115">
        <f>IF(N($G28)=0,"",IF($F28="Tarjeta Citi",CFG_CITI,0))</f>
        <v/>
      </c>
      <c r="I28" s="112">
        <f>IF(N($G28)=0,"",$G28*$H28)</f>
        <v/>
      </c>
      <c r="J28" s="114">
        <f>IF(N($G28)=0,"",$G28+$I28)</f>
        <v/>
      </c>
      <c r="K28" s="107" t="n"/>
    </row>
    <row r="29">
      <c r="B29" s="132" t="n"/>
      <c r="C29" s="107" t="n"/>
      <c r="D29" s="107" t="n"/>
      <c r="E29" s="107" t="n"/>
      <c r="F29" s="107" t="n"/>
      <c r="G29" s="133" t="n"/>
      <c r="H29" s="115">
        <f>IF(N($G29)=0,"",IF($F29="Tarjeta Citi",CFG_CITI,0))</f>
        <v/>
      </c>
      <c r="I29" s="112">
        <f>IF(N($G29)=0,"",$G29*$H29)</f>
        <v/>
      </c>
      <c r="J29" s="114">
        <f>IF(N($G29)=0,"",$G29+$I29)</f>
        <v/>
      </c>
      <c r="K29" s="107" t="n"/>
    </row>
    <row r="30">
      <c r="B30" s="132" t="n"/>
      <c r="C30" s="107" t="n"/>
      <c r="D30" s="107" t="n"/>
      <c r="E30" s="107" t="n"/>
      <c r="F30" s="107" t="n"/>
      <c r="G30" s="133" t="n"/>
      <c r="H30" s="115">
        <f>IF(N($G30)=0,"",IF($F30="Tarjeta Citi",CFG_CITI,0))</f>
        <v/>
      </c>
      <c r="I30" s="112">
        <f>IF(N($G30)=0,"",$G30*$H30)</f>
        <v/>
      </c>
      <c r="J30" s="114">
        <f>IF(N($G30)=0,"",$G30+$I30)</f>
        <v/>
      </c>
      <c r="K30" s="107" t="n"/>
    </row>
    <row r="31">
      <c r="B31" s="132" t="n"/>
      <c r="C31" s="107" t="n"/>
      <c r="D31" s="107" t="n"/>
      <c r="E31" s="107" t="n"/>
      <c r="F31" s="107" t="n"/>
      <c r="G31" s="133" t="n"/>
      <c r="H31" s="115">
        <f>IF(N($G31)=0,"",IF($F31="Tarjeta Citi",CFG_CITI,0))</f>
        <v/>
      </c>
      <c r="I31" s="112">
        <f>IF(N($G31)=0,"",$G31*$H31)</f>
        <v/>
      </c>
      <c r="J31" s="114">
        <f>IF(N($G31)=0,"",$G31+$I31)</f>
        <v/>
      </c>
      <c r="K31" s="107" t="n"/>
    </row>
    <row r="32">
      <c r="B32" s="132" t="n"/>
      <c r="C32" s="107" t="n"/>
      <c r="D32" s="107" t="n"/>
      <c r="E32" s="107" t="n"/>
      <c r="F32" s="107" t="n"/>
      <c r="G32" s="133" t="n"/>
      <c r="H32" s="115">
        <f>IF(N($G32)=0,"",IF($F32="Tarjeta Citi",CFG_CITI,0))</f>
        <v/>
      </c>
      <c r="I32" s="112">
        <f>IF(N($G32)=0,"",$G32*$H32)</f>
        <v/>
      </c>
      <c r="J32" s="114">
        <f>IF(N($G32)=0,"",$G32+$I32)</f>
        <v/>
      </c>
      <c r="K32" s="107" t="n"/>
    </row>
    <row r="33">
      <c r="B33" s="132" t="n"/>
      <c r="C33" s="107" t="n"/>
      <c r="D33" s="107" t="n"/>
      <c r="E33" s="107" t="n"/>
      <c r="F33" s="107" t="n"/>
      <c r="G33" s="133" t="n"/>
      <c r="H33" s="115">
        <f>IF(N($G33)=0,"",IF($F33="Tarjeta Citi",CFG_CITI,0))</f>
        <v/>
      </c>
      <c r="I33" s="112">
        <f>IF(N($G33)=0,"",$G33*$H33)</f>
        <v/>
      </c>
      <c r="J33" s="114">
        <f>IF(N($G33)=0,"",$G33+$I33)</f>
        <v/>
      </c>
      <c r="K33" s="107" t="n"/>
    </row>
    <row r="34">
      <c r="B34" s="132" t="n"/>
      <c r="C34" s="107" t="n"/>
      <c r="D34" s="107" t="n"/>
      <c r="E34" s="107" t="n"/>
      <c r="F34" s="107" t="n"/>
      <c r="G34" s="133" t="n"/>
      <c r="H34" s="115">
        <f>IF(N($G34)=0,"",IF($F34="Tarjeta Citi",CFG_CITI,0))</f>
        <v/>
      </c>
      <c r="I34" s="112">
        <f>IF(N($G34)=0,"",$G34*$H34)</f>
        <v/>
      </c>
      <c r="J34" s="114">
        <f>IF(N($G34)=0,"",$G34+$I34)</f>
        <v/>
      </c>
      <c r="K34" s="107" t="n"/>
    </row>
    <row r="35">
      <c r="B35" s="132" t="n"/>
      <c r="C35" s="107" t="n"/>
      <c r="D35" s="107" t="n"/>
      <c r="E35" s="107" t="n"/>
      <c r="F35" s="107" t="n"/>
      <c r="G35" s="133" t="n"/>
      <c r="H35" s="115">
        <f>IF(N($G35)=0,"",IF($F35="Tarjeta Citi",CFG_CITI,0))</f>
        <v/>
      </c>
      <c r="I35" s="112">
        <f>IF(N($G35)=0,"",$G35*$H35)</f>
        <v/>
      </c>
      <c r="J35" s="114">
        <f>IF(N($G35)=0,"",$G35+$I35)</f>
        <v/>
      </c>
      <c r="K35" s="107" t="n"/>
    </row>
    <row r="36">
      <c r="B36" s="132" t="n"/>
      <c r="C36" s="107" t="n"/>
      <c r="D36" s="107" t="n"/>
      <c r="E36" s="107" t="n"/>
      <c r="F36" s="107" t="n"/>
      <c r="G36" s="133" t="n"/>
      <c r="H36" s="115">
        <f>IF(N($G36)=0,"",IF($F36="Tarjeta Citi",CFG_CITI,0))</f>
        <v/>
      </c>
      <c r="I36" s="112">
        <f>IF(N($G36)=0,"",$G36*$H36)</f>
        <v/>
      </c>
      <c r="J36" s="114">
        <f>IF(N($G36)=0,"",$G36+$I36)</f>
        <v/>
      </c>
      <c r="K36" s="107" t="n"/>
    </row>
    <row r="37">
      <c r="B37" s="132" t="n"/>
      <c r="C37" s="107" t="n"/>
      <c r="D37" s="107" t="n"/>
      <c r="E37" s="107" t="n"/>
      <c r="F37" s="107" t="n"/>
      <c r="G37" s="133" t="n"/>
      <c r="H37" s="115">
        <f>IF(N($G37)=0,"",IF($F37="Tarjeta Citi",CFG_CITI,0))</f>
        <v/>
      </c>
      <c r="I37" s="112">
        <f>IF(N($G37)=0,"",$G37*$H37)</f>
        <v/>
      </c>
      <c r="J37" s="114">
        <f>IF(N($G37)=0,"",$G37+$I37)</f>
        <v/>
      </c>
      <c r="K37" s="107" t="n"/>
    </row>
    <row r="38">
      <c r="B38" s="132" t="n"/>
      <c r="C38" s="107" t="n"/>
      <c r="D38" s="107" t="n"/>
      <c r="E38" s="107" t="n"/>
      <c r="F38" s="107" t="n"/>
      <c r="G38" s="133" t="n"/>
      <c r="H38" s="115">
        <f>IF(N($G38)=0,"",IF($F38="Tarjeta Citi",CFG_CITI,0))</f>
        <v/>
      </c>
      <c r="I38" s="112">
        <f>IF(N($G38)=0,"",$G38*$H38)</f>
        <v/>
      </c>
      <c r="J38" s="114">
        <f>IF(N($G38)=0,"",$G38+$I38)</f>
        <v/>
      </c>
      <c r="K38" s="107" t="n"/>
    </row>
    <row r="39">
      <c r="B39" s="132" t="n"/>
      <c r="C39" s="107" t="n"/>
      <c r="D39" s="107" t="n"/>
      <c r="E39" s="107" t="n"/>
      <c r="F39" s="107" t="n"/>
      <c r="G39" s="133" t="n"/>
      <c r="H39" s="115">
        <f>IF(N($G39)=0,"",IF($F39="Tarjeta Citi",CFG_CITI,0))</f>
        <v/>
      </c>
      <c r="I39" s="112">
        <f>IF(N($G39)=0,"",$G39*$H39)</f>
        <v/>
      </c>
      <c r="J39" s="114">
        <f>IF(N($G39)=0,"",$G39+$I39)</f>
        <v/>
      </c>
      <c r="K39" s="107" t="n"/>
    </row>
    <row r="40">
      <c r="B40" s="132" t="n"/>
      <c r="C40" s="107" t="n"/>
      <c r="D40" s="107" t="n"/>
      <c r="E40" s="107" t="n"/>
      <c r="F40" s="107" t="n"/>
      <c r="G40" s="133" t="n"/>
      <c r="H40" s="115">
        <f>IF(N($G40)=0,"",IF($F40="Tarjeta Citi",CFG_CITI,0))</f>
        <v/>
      </c>
      <c r="I40" s="112">
        <f>IF(N($G40)=0,"",$G40*$H40)</f>
        <v/>
      </c>
      <c r="J40" s="114">
        <f>IF(N($G40)=0,"",$G40+$I40)</f>
        <v/>
      </c>
      <c r="K40" s="107" t="n"/>
    </row>
    <row r="41">
      <c r="B41" s="132" t="n"/>
      <c r="C41" s="107" t="n"/>
      <c r="D41" s="107" t="n"/>
      <c r="E41" s="107" t="n"/>
      <c r="F41" s="107" t="n"/>
      <c r="G41" s="133" t="n"/>
      <c r="H41" s="115">
        <f>IF(N($G41)=0,"",IF($F41="Tarjeta Citi",CFG_CITI,0))</f>
        <v/>
      </c>
      <c r="I41" s="112">
        <f>IF(N($G41)=0,"",$G41*$H41)</f>
        <v/>
      </c>
      <c r="J41" s="114">
        <f>IF(N($G41)=0,"",$G41+$I41)</f>
        <v/>
      </c>
      <c r="K41" s="107" t="n"/>
    </row>
    <row r="42">
      <c r="B42" s="132" t="n"/>
      <c r="C42" s="107" t="n"/>
      <c r="D42" s="107" t="n"/>
      <c r="E42" s="107" t="n"/>
      <c r="F42" s="107" t="n"/>
      <c r="G42" s="133" t="n"/>
      <c r="H42" s="115">
        <f>IF(N($G42)=0,"",IF($F42="Tarjeta Citi",CFG_CITI,0))</f>
        <v/>
      </c>
      <c r="I42" s="112">
        <f>IF(N($G42)=0,"",$G42*$H42)</f>
        <v/>
      </c>
      <c r="J42" s="114">
        <f>IF(N($G42)=0,"",$G42+$I42)</f>
        <v/>
      </c>
      <c r="K42" s="107" t="n"/>
    </row>
    <row r="43">
      <c r="B43" s="132" t="n"/>
      <c r="C43" s="107" t="n"/>
      <c r="D43" s="107" t="n"/>
      <c r="E43" s="107" t="n"/>
      <c r="F43" s="107" t="n"/>
      <c r="G43" s="133" t="n"/>
      <c r="H43" s="115">
        <f>IF(N($G43)=0,"",IF($F43="Tarjeta Citi",CFG_CITI,0))</f>
        <v/>
      </c>
      <c r="I43" s="112">
        <f>IF(N($G43)=0,"",$G43*$H43)</f>
        <v/>
      </c>
      <c r="J43" s="114">
        <f>IF(N($G43)=0,"",$G43+$I43)</f>
        <v/>
      </c>
      <c r="K43" s="107" t="n"/>
    </row>
    <row r="44">
      <c r="B44" s="132" t="n"/>
      <c r="C44" s="107" t="n"/>
      <c r="D44" s="107" t="n"/>
      <c r="E44" s="107" t="n"/>
      <c r="F44" s="107" t="n"/>
      <c r="G44" s="133" t="n"/>
      <c r="H44" s="115">
        <f>IF(N($G44)=0,"",IF($F44="Tarjeta Citi",CFG_CITI,0))</f>
        <v/>
      </c>
      <c r="I44" s="112">
        <f>IF(N($G44)=0,"",$G44*$H44)</f>
        <v/>
      </c>
      <c r="J44" s="114">
        <f>IF(N($G44)=0,"",$G44+$I44)</f>
        <v/>
      </c>
      <c r="K44" s="107" t="n"/>
    </row>
    <row r="45">
      <c r="B45" s="132" t="n"/>
      <c r="C45" s="107" t="n"/>
      <c r="D45" s="107" t="n"/>
      <c r="E45" s="107" t="n"/>
      <c r="F45" s="107" t="n"/>
      <c r="G45" s="133" t="n"/>
      <c r="H45" s="115">
        <f>IF(N($G45)=0,"",IF($F45="Tarjeta Citi",CFG_CITI,0))</f>
        <v/>
      </c>
      <c r="I45" s="112">
        <f>IF(N($G45)=0,"",$G45*$H45)</f>
        <v/>
      </c>
      <c r="J45" s="114">
        <f>IF(N($G45)=0,"",$G45+$I45)</f>
        <v/>
      </c>
      <c r="K45" s="107" t="n"/>
    </row>
    <row r="46">
      <c r="B46" s="132" t="n"/>
      <c r="C46" s="107" t="n"/>
      <c r="D46" s="107" t="n"/>
      <c r="E46" s="107" t="n"/>
      <c r="F46" s="107" t="n"/>
      <c r="G46" s="133" t="n"/>
      <c r="H46" s="115">
        <f>IF(N($G46)=0,"",IF($F46="Tarjeta Citi",CFG_CITI,0))</f>
        <v/>
      </c>
      <c r="I46" s="112">
        <f>IF(N($G46)=0,"",$G46*$H46)</f>
        <v/>
      </c>
      <c r="J46" s="114">
        <f>IF(N($G46)=0,"",$G46+$I46)</f>
        <v/>
      </c>
      <c r="K46" s="107" t="n"/>
    </row>
    <row r="47">
      <c r="B47" s="132" t="n"/>
      <c r="C47" s="107" t="n"/>
      <c r="D47" s="107" t="n"/>
      <c r="E47" s="107" t="n"/>
      <c r="F47" s="107" t="n"/>
      <c r="G47" s="133" t="n"/>
      <c r="H47" s="115">
        <f>IF(N($G47)=0,"",IF($F47="Tarjeta Citi",CFG_CITI,0))</f>
        <v/>
      </c>
      <c r="I47" s="112">
        <f>IF(N($G47)=0,"",$G47*$H47)</f>
        <v/>
      </c>
      <c r="J47" s="114">
        <f>IF(N($G47)=0,"",$G47+$I47)</f>
        <v/>
      </c>
      <c r="K47" s="107" t="n"/>
    </row>
    <row r="48">
      <c r="B48" s="132" t="n"/>
      <c r="C48" s="107" t="n"/>
      <c r="D48" s="107" t="n"/>
      <c r="E48" s="107" t="n"/>
      <c r="F48" s="107" t="n"/>
      <c r="G48" s="133" t="n"/>
      <c r="H48" s="115">
        <f>IF(N($G48)=0,"",IF($F48="Tarjeta Citi",CFG_CITI,0))</f>
        <v/>
      </c>
      <c r="I48" s="112">
        <f>IF(N($G48)=0,"",$G48*$H48)</f>
        <v/>
      </c>
      <c r="J48" s="114">
        <f>IF(N($G48)=0,"",$G48+$I48)</f>
        <v/>
      </c>
      <c r="K48" s="107" t="n"/>
    </row>
    <row r="49">
      <c r="B49" s="132" t="n"/>
      <c r="C49" s="107" t="n"/>
      <c r="D49" s="107" t="n"/>
      <c r="E49" s="107" t="n"/>
      <c r="F49" s="107" t="n"/>
      <c r="G49" s="133" t="n"/>
      <c r="H49" s="115">
        <f>IF(N($G49)=0,"",IF($F49="Tarjeta Citi",CFG_CITI,0))</f>
        <v/>
      </c>
      <c r="I49" s="112">
        <f>IF(N($G49)=0,"",$G49*$H49)</f>
        <v/>
      </c>
      <c r="J49" s="114">
        <f>IF(N($G49)=0,"",$G49+$I49)</f>
        <v/>
      </c>
      <c r="K49" s="107" t="n"/>
    </row>
    <row r="50">
      <c r="B50" s="132" t="n"/>
      <c r="C50" s="107" t="n"/>
      <c r="D50" s="107" t="n"/>
      <c r="E50" s="107" t="n"/>
      <c r="F50" s="107" t="n"/>
      <c r="G50" s="133" t="n"/>
      <c r="H50" s="115">
        <f>IF(N($G50)=0,"",IF($F50="Tarjeta Citi",CFG_CITI,0))</f>
        <v/>
      </c>
      <c r="I50" s="112">
        <f>IF(N($G50)=0,"",$G50*$H50)</f>
        <v/>
      </c>
      <c r="J50" s="114">
        <f>IF(N($G50)=0,"",$G50+$I50)</f>
        <v/>
      </c>
      <c r="K50" s="107" t="n"/>
    </row>
    <row r="51">
      <c r="B51" s="132" t="n"/>
      <c r="C51" s="107" t="n"/>
      <c r="D51" s="107" t="n"/>
      <c r="E51" s="107" t="n"/>
      <c r="F51" s="107" t="n"/>
      <c r="G51" s="133" t="n"/>
      <c r="H51" s="115">
        <f>IF(N($G51)=0,"",IF($F51="Tarjeta Citi",CFG_CITI,0))</f>
        <v/>
      </c>
      <c r="I51" s="112">
        <f>IF(N($G51)=0,"",$G51*$H51)</f>
        <v/>
      </c>
      <c r="J51" s="114">
        <f>IF(N($G51)=0,"",$G51+$I51)</f>
        <v/>
      </c>
      <c r="K51" s="107" t="n"/>
    </row>
    <row r="52">
      <c r="B52" s="132" t="n"/>
      <c r="C52" s="107" t="n"/>
      <c r="D52" s="107" t="n"/>
      <c r="E52" s="107" t="n"/>
      <c r="F52" s="107" t="n"/>
      <c r="G52" s="133" t="n"/>
      <c r="H52" s="115">
        <f>IF(N($G52)=0,"",IF($F52="Tarjeta Citi",CFG_CITI,0))</f>
        <v/>
      </c>
      <c r="I52" s="112">
        <f>IF(N($G52)=0,"",$G52*$H52)</f>
        <v/>
      </c>
      <c r="J52" s="114">
        <f>IF(N($G52)=0,"",$G52+$I52)</f>
        <v/>
      </c>
      <c r="K52" s="107" t="n"/>
    </row>
    <row r="53">
      <c r="B53" s="132" t="n"/>
      <c r="C53" s="107" t="n"/>
      <c r="D53" s="107" t="n"/>
      <c r="E53" s="107" t="n"/>
      <c r="F53" s="107" t="n"/>
      <c r="G53" s="133" t="n"/>
      <c r="H53" s="115">
        <f>IF(N($G53)=0,"",IF($F53="Tarjeta Citi",CFG_CITI,0))</f>
        <v/>
      </c>
      <c r="I53" s="112">
        <f>IF(N($G53)=0,"",$G53*$H53)</f>
        <v/>
      </c>
      <c r="J53" s="114">
        <f>IF(N($G53)=0,"",$G53+$I53)</f>
        <v/>
      </c>
      <c r="K53" s="107" t="n"/>
    </row>
    <row r="54">
      <c r="B54" s="132" t="n"/>
      <c r="C54" s="107" t="n"/>
      <c r="D54" s="107" t="n"/>
      <c r="E54" s="107" t="n"/>
      <c r="F54" s="107" t="n"/>
      <c r="G54" s="133" t="n"/>
      <c r="H54" s="115">
        <f>IF(N($G54)=0,"",IF($F54="Tarjeta Citi",CFG_CITI,0))</f>
        <v/>
      </c>
      <c r="I54" s="112">
        <f>IF(N($G54)=0,"",$G54*$H54)</f>
        <v/>
      </c>
      <c r="J54" s="114">
        <f>IF(N($G54)=0,"",$G54+$I54)</f>
        <v/>
      </c>
      <c r="K54" s="107" t="n"/>
    </row>
    <row r="55">
      <c r="B55" s="132" t="n"/>
      <c r="C55" s="107" t="n"/>
      <c r="D55" s="107" t="n"/>
      <c r="E55" s="107" t="n"/>
      <c r="F55" s="107" t="n"/>
      <c r="G55" s="133" t="n"/>
      <c r="H55" s="115">
        <f>IF(N($G55)=0,"",IF($F55="Tarjeta Citi",CFG_CITI,0))</f>
        <v/>
      </c>
      <c r="I55" s="112">
        <f>IF(N($G55)=0,"",$G55*$H55)</f>
        <v/>
      </c>
      <c r="J55" s="114">
        <f>IF(N($G55)=0,"",$G55+$I55)</f>
        <v/>
      </c>
      <c r="K55" s="107" t="n"/>
    </row>
    <row r="56">
      <c r="B56" s="132" t="n"/>
      <c r="C56" s="107" t="n"/>
      <c r="D56" s="107" t="n"/>
      <c r="E56" s="107" t="n"/>
      <c r="F56" s="107" t="n"/>
      <c r="G56" s="133" t="n"/>
      <c r="H56" s="115">
        <f>IF(N($G56)=0,"",IF($F56="Tarjeta Citi",CFG_CITI,0))</f>
        <v/>
      </c>
      <c r="I56" s="112">
        <f>IF(N($G56)=0,"",$G56*$H56)</f>
        <v/>
      </c>
      <c r="J56" s="114">
        <f>IF(N($G56)=0,"",$G56+$I56)</f>
        <v/>
      </c>
      <c r="K56" s="107" t="n"/>
    </row>
    <row r="57">
      <c r="B57" s="132" t="n"/>
      <c r="C57" s="107" t="n"/>
      <c r="D57" s="107" t="n"/>
      <c r="E57" s="107" t="n"/>
      <c r="F57" s="107" t="n"/>
      <c r="G57" s="133" t="n"/>
      <c r="H57" s="115">
        <f>IF(N($G57)=0,"",IF($F57="Tarjeta Citi",CFG_CITI,0))</f>
        <v/>
      </c>
      <c r="I57" s="112">
        <f>IF(N($G57)=0,"",$G57*$H57)</f>
        <v/>
      </c>
      <c r="J57" s="114">
        <f>IF(N($G57)=0,"",$G57+$I57)</f>
        <v/>
      </c>
      <c r="K57" s="107" t="n"/>
    </row>
    <row r="58">
      <c r="B58" s="132" t="n"/>
      <c r="C58" s="107" t="n"/>
      <c r="D58" s="107" t="n"/>
      <c r="E58" s="107" t="n"/>
      <c r="F58" s="107" t="n"/>
      <c r="G58" s="133" t="n"/>
      <c r="H58" s="115">
        <f>IF(N($G58)=0,"",IF($F58="Tarjeta Citi",CFG_CITI,0))</f>
        <v/>
      </c>
      <c r="I58" s="112">
        <f>IF(N($G58)=0,"",$G58*$H58)</f>
        <v/>
      </c>
      <c r="J58" s="114">
        <f>IF(N($G58)=0,"",$G58+$I58)</f>
        <v/>
      </c>
      <c r="K58" s="107" t="n"/>
    </row>
    <row r="59">
      <c r="B59" s="132" t="n"/>
      <c r="C59" s="107" t="n"/>
      <c r="D59" s="107" t="n"/>
      <c r="E59" s="107" t="n"/>
      <c r="F59" s="107" t="n"/>
      <c r="G59" s="133" t="n"/>
      <c r="H59" s="115">
        <f>IF(N($G59)=0,"",IF($F59="Tarjeta Citi",CFG_CITI,0))</f>
        <v/>
      </c>
      <c r="I59" s="112">
        <f>IF(N($G59)=0,"",$G59*$H59)</f>
        <v/>
      </c>
      <c r="J59" s="114">
        <f>IF(N($G59)=0,"",$G59+$I59)</f>
        <v/>
      </c>
      <c r="K59" s="107" t="n"/>
    </row>
    <row r="60">
      <c r="B60" s="132" t="n"/>
      <c r="C60" s="107" t="n"/>
      <c r="D60" s="107" t="n"/>
      <c r="E60" s="107" t="n"/>
      <c r="F60" s="107" t="n"/>
      <c r="G60" s="133" t="n"/>
      <c r="H60" s="115">
        <f>IF(N($G60)=0,"",IF($F60="Tarjeta Citi",CFG_CITI,0))</f>
        <v/>
      </c>
      <c r="I60" s="112">
        <f>IF(N($G60)=0,"",$G60*$H60)</f>
        <v/>
      </c>
      <c r="J60" s="114">
        <f>IF(N($G60)=0,"",$G60+$I60)</f>
        <v/>
      </c>
      <c r="K60" s="107" t="n"/>
    </row>
    <row r="61">
      <c r="B61" s="132" t="n"/>
      <c r="C61" s="107" t="n"/>
      <c r="D61" s="107" t="n"/>
      <c r="E61" s="107" t="n"/>
      <c r="F61" s="107" t="n"/>
      <c r="G61" s="133" t="n"/>
      <c r="H61" s="115">
        <f>IF(N($G61)=0,"",IF($F61="Tarjeta Citi",CFG_CITI,0))</f>
        <v/>
      </c>
      <c r="I61" s="112">
        <f>IF(N($G61)=0,"",$G61*$H61)</f>
        <v/>
      </c>
      <c r="J61" s="114">
        <f>IF(N($G61)=0,"",$G61+$I61)</f>
        <v/>
      </c>
      <c r="K61" s="107" t="n"/>
    </row>
    <row r="62">
      <c r="B62" s="132" t="n"/>
      <c r="C62" s="107" t="n"/>
      <c r="D62" s="107" t="n"/>
      <c r="E62" s="107" t="n"/>
      <c r="F62" s="107" t="n"/>
      <c r="G62" s="133" t="n"/>
      <c r="H62" s="115">
        <f>IF(N($G62)=0,"",IF($F62="Tarjeta Citi",CFG_CITI,0))</f>
        <v/>
      </c>
      <c r="I62" s="112">
        <f>IF(N($G62)=0,"",$G62*$H62)</f>
        <v/>
      </c>
      <c r="J62" s="114">
        <f>IF(N($G62)=0,"",$G62+$I62)</f>
        <v/>
      </c>
      <c r="K62" s="107" t="n"/>
    </row>
    <row r="63">
      <c r="B63" s="132" t="n"/>
      <c r="C63" s="107" t="n"/>
      <c r="D63" s="107" t="n"/>
      <c r="E63" s="107" t="n"/>
      <c r="F63" s="107" t="n"/>
      <c r="G63" s="133" t="n"/>
      <c r="H63" s="115">
        <f>IF(N($G63)=0,"",IF($F63="Tarjeta Citi",CFG_CITI,0))</f>
        <v/>
      </c>
      <c r="I63" s="112">
        <f>IF(N($G63)=0,"",$G63*$H63)</f>
        <v/>
      </c>
      <c r="J63" s="114">
        <f>IF(N($G63)=0,"",$G63+$I63)</f>
        <v/>
      </c>
      <c r="K63" s="107" t="n"/>
    </row>
    <row r="64">
      <c r="B64" s="132" t="n"/>
      <c r="C64" s="107" t="n"/>
      <c r="D64" s="107" t="n"/>
      <c r="E64" s="107" t="n"/>
      <c r="F64" s="107" t="n"/>
      <c r="G64" s="133" t="n"/>
      <c r="H64" s="115">
        <f>IF(N($G64)=0,"",IF($F64="Tarjeta Citi",CFG_CITI,0))</f>
        <v/>
      </c>
      <c r="I64" s="112">
        <f>IF(N($G64)=0,"",$G64*$H64)</f>
        <v/>
      </c>
      <c r="J64" s="114">
        <f>IF(N($G64)=0,"",$G64+$I64)</f>
        <v/>
      </c>
      <c r="K64" s="107" t="n"/>
    </row>
    <row r="65">
      <c r="B65" s="132" t="n"/>
      <c r="C65" s="107" t="n"/>
      <c r="D65" s="107" t="n"/>
      <c r="E65" s="107" t="n"/>
      <c r="F65" s="107" t="n"/>
      <c r="G65" s="133" t="n"/>
      <c r="H65" s="115">
        <f>IF(N($G65)=0,"",IF($F65="Tarjeta Citi",CFG_CITI,0))</f>
        <v/>
      </c>
      <c r="I65" s="112">
        <f>IF(N($G65)=0,"",$G65*$H65)</f>
        <v/>
      </c>
      <c r="J65" s="114">
        <f>IF(N($G65)=0,"",$G65+$I65)</f>
        <v/>
      </c>
      <c r="K65" s="107" t="n"/>
    </row>
    <row r="66">
      <c r="B66" s="132" t="n"/>
      <c r="C66" s="107" t="n"/>
      <c r="D66" s="107" t="n"/>
      <c r="E66" s="107" t="n"/>
      <c r="F66" s="107" t="n"/>
      <c r="G66" s="133" t="n"/>
      <c r="H66" s="115">
        <f>IF(N($G66)=0,"",IF($F66="Tarjeta Citi",CFG_CITI,0))</f>
        <v/>
      </c>
      <c r="I66" s="112">
        <f>IF(N($G66)=0,"",$G66*$H66)</f>
        <v/>
      </c>
      <c r="J66" s="114">
        <f>IF(N($G66)=0,"",$G66+$I66)</f>
        <v/>
      </c>
      <c r="K66" s="107" t="n"/>
    </row>
    <row r="67">
      <c r="B67" s="132" t="n"/>
      <c r="C67" s="107" t="n"/>
      <c r="D67" s="107" t="n"/>
      <c r="E67" s="107" t="n"/>
      <c r="F67" s="107" t="n"/>
      <c r="G67" s="133" t="n"/>
      <c r="H67" s="115">
        <f>IF(N($G67)=0,"",IF($F67="Tarjeta Citi",CFG_CITI,0))</f>
        <v/>
      </c>
      <c r="I67" s="112">
        <f>IF(N($G67)=0,"",$G67*$H67)</f>
        <v/>
      </c>
      <c r="J67" s="114">
        <f>IF(N($G67)=0,"",$G67+$I67)</f>
        <v/>
      </c>
      <c r="K67" s="107" t="n"/>
    </row>
    <row r="68">
      <c r="B68" s="132" t="n"/>
      <c r="C68" s="107" t="n"/>
      <c r="D68" s="107" t="n"/>
      <c r="E68" s="107" t="n"/>
      <c r="F68" s="107" t="n"/>
      <c r="G68" s="133" t="n"/>
      <c r="H68" s="115">
        <f>IF(N($G68)=0,"",IF($F68="Tarjeta Citi",CFG_CITI,0))</f>
        <v/>
      </c>
      <c r="I68" s="112">
        <f>IF(N($G68)=0,"",$G68*$H68)</f>
        <v/>
      </c>
      <c r="J68" s="114">
        <f>IF(N($G68)=0,"",$G68+$I68)</f>
        <v/>
      </c>
      <c r="K68" s="107" t="n"/>
    </row>
    <row r="69">
      <c r="B69" s="132" t="n"/>
      <c r="C69" s="107" t="n"/>
      <c r="D69" s="107" t="n"/>
      <c r="E69" s="107" t="n"/>
      <c r="F69" s="107" t="n"/>
      <c r="G69" s="133" t="n"/>
      <c r="H69" s="115">
        <f>IF(N($G69)=0,"",IF($F69="Tarjeta Citi",CFG_CITI,0))</f>
        <v/>
      </c>
      <c r="I69" s="112">
        <f>IF(N($G69)=0,"",$G69*$H69)</f>
        <v/>
      </c>
      <c r="J69" s="114">
        <f>IF(N($G69)=0,"",$G69+$I69)</f>
        <v/>
      </c>
      <c r="K69" s="107" t="n"/>
    </row>
    <row r="70">
      <c r="B70" s="132" t="n"/>
      <c r="C70" s="107" t="n"/>
      <c r="D70" s="107" t="n"/>
      <c r="E70" s="107" t="n"/>
      <c r="F70" s="107" t="n"/>
      <c r="G70" s="133" t="n"/>
      <c r="H70" s="115">
        <f>IF(N($G70)=0,"",IF($F70="Tarjeta Citi",CFG_CITI,0))</f>
        <v/>
      </c>
      <c r="I70" s="112">
        <f>IF(N($G70)=0,"",$G70*$H70)</f>
        <v/>
      </c>
      <c r="J70" s="114">
        <f>IF(N($G70)=0,"",$G70+$I70)</f>
        <v/>
      </c>
      <c r="K70" s="107" t="n"/>
    </row>
    <row r="71">
      <c r="B71" s="132" t="n"/>
      <c r="C71" s="107" t="n"/>
      <c r="D71" s="107" t="n"/>
      <c r="E71" s="107" t="n"/>
      <c r="F71" s="107" t="n"/>
      <c r="G71" s="133" t="n"/>
      <c r="H71" s="115">
        <f>IF(N($G71)=0,"",IF($F71="Tarjeta Citi",CFG_CITI,0))</f>
        <v/>
      </c>
      <c r="I71" s="112">
        <f>IF(N($G71)=0,"",$G71*$H71)</f>
        <v/>
      </c>
      <c r="J71" s="114">
        <f>IF(N($G71)=0,"",$G71+$I71)</f>
        <v/>
      </c>
      <c r="K71" s="107" t="n"/>
    </row>
    <row r="72">
      <c r="B72" s="132" t="n"/>
      <c r="C72" s="107" t="n"/>
      <c r="D72" s="107" t="n"/>
      <c r="E72" s="107" t="n"/>
      <c r="F72" s="107" t="n"/>
      <c r="G72" s="133" t="n"/>
      <c r="H72" s="115">
        <f>IF(N($G72)=0,"",IF($F72="Tarjeta Citi",CFG_CITI,0))</f>
        <v/>
      </c>
      <c r="I72" s="112">
        <f>IF(N($G72)=0,"",$G72*$H72)</f>
        <v/>
      </c>
      <c r="J72" s="114">
        <f>IF(N($G72)=0,"",$G72+$I72)</f>
        <v/>
      </c>
      <c r="K72" s="107" t="n"/>
    </row>
    <row r="73">
      <c r="B73" s="132" t="n"/>
      <c r="C73" s="107" t="n"/>
      <c r="D73" s="107" t="n"/>
      <c r="E73" s="107" t="n"/>
      <c r="F73" s="107" t="n"/>
      <c r="G73" s="133" t="n"/>
      <c r="H73" s="115">
        <f>IF(N($G73)=0,"",IF($F73="Tarjeta Citi",CFG_CITI,0))</f>
        <v/>
      </c>
      <c r="I73" s="112">
        <f>IF(N($G73)=0,"",$G73*$H73)</f>
        <v/>
      </c>
      <c r="J73" s="114">
        <f>IF(N($G73)=0,"",$G73+$I73)</f>
        <v/>
      </c>
      <c r="K73" s="107" t="n"/>
    </row>
    <row r="74">
      <c r="B74" s="132" t="n"/>
      <c r="C74" s="107" t="n"/>
      <c r="D74" s="107" t="n"/>
      <c r="E74" s="107" t="n"/>
      <c r="F74" s="107" t="n"/>
      <c r="G74" s="133" t="n"/>
      <c r="H74" s="115">
        <f>IF(N($G74)=0,"",IF($F74="Tarjeta Citi",CFG_CITI,0))</f>
        <v/>
      </c>
      <c r="I74" s="112">
        <f>IF(N($G74)=0,"",$G74*$H74)</f>
        <v/>
      </c>
      <c r="J74" s="114">
        <f>IF(N($G74)=0,"",$G74+$I74)</f>
        <v/>
      </c>
      <c r="K74" s="107" t="n"/>
    </row>
    <row r="75">
      <c r="B75" s="132" t="n"/>
      <c r="C75" s="107" t="n"/>
      <c r="D75" s="107" t="n"/>
      <c r="E75" s="107" t="n"/>
      <c r="F75" s="107" t="n"/>
      <c r="G75" s="133" t="n"/>
      <c r="H75" s="115">
        <f>IF(N($G75)=0,"",IF($F75="Tarjeta Citi",CFG_CITI,0))</f>
        <v/>
      </c>
      <c r="I75" s="112">
        <f>IF(N($G75)=0,"",$G75*$H75)</f>
        <v/>
      </c>
      <c r="J75" s="114">
        <f>IF(N($G75)=0,"",$G75+$I75)</f>
        <v/>
      </c>
      <c r="K75" s="107" t="n"/>
    </row>
    <row r="76">
      <c r="B76" s="132" t="n"/>
      <c r="C76" s="107" t="n"/>
      <c r="D76" s="107" t="n"/>
      <c r="E76" s="107" t="n"/>
      <c r="F76" s="107" t="n"/>
      <c r="G76" s="133" t="n"/>
      <c r="H76" s="115">
        <f>IF(N($G76)=0,"",IF($F76="Tarjeta Citi",CFG_CITI,0))</f>
        <v/>
      </c>
      <c r="I76" s="112">
        <f>IF(N($G76)=0,"",$G76*$H76)</f>
        <v/>
      </c>
      <c r="J76" s="114">
        <f>IF(N($G76)=0,"",$G76+$I76)</f>
        <v/>
      </c>
      <c r="K76" s="107" t="n"/>
    </row>
    <row r="77">
      <c r="B77" s="132" t="n"/>
      <c r="C77" s="107" t="n"/>
      <c r="D77" s="107" t="n"/>
      <c r="E77" s="107" t="n"/>
      <c r="F77" s="107" t="n"/>
      <c r="G77" s="133" t="n"/>
      <c r="H77" s="115">
        <f>IF(N($G77)=0,"",IF($F77="Tarjeta Citi",CFG_CITI,0))</f>
        <v/>
      </c>
      <c r="I77" s="112">
        <f>IF(N($G77)=0,"",$G77*$H77)</f>
        <v/>
      </c>
      <c r="J77" s="114">
        <f>IF(N($G77)=0,"",$G77+$I77)</f>
        <v/>
      </c>
      <c r="K77" s="107" t="n"/>
    </row>
    <row r="78">
      <c r="B78" s="132" t="n"/>
      <c r="C78" s="107" t="n"/>
      <c r="D78" s="107" t="n"/>
      <c r="E78" s="107" t="n"/>
      <c r="F78" s="107" t="n"/>
      <c r="G78" s="133" t="n"/>
      <c r="H78" s="115">
        <f>IF(N($G78)=0,"",IF($F78="Tarjeta Citi",CFG_CITI,0))</f>
        <v/>
      </c>
      <c r="I78" s="112">
        <f>IF(N($G78)=0,"",$G78*$H78)</f>
        <v/>
      </c>
      <c r="J78" s="114">
        <f>IF(N($G78)=0,"",$G78+$I78)</f>
        <v/>
      </c>
      <c r="K78" s="107" t="n"/>
    </row>
    <row r="79">
      <c r="B79" s="132" t="n"/>
      <c r="C79" s="107" t="n"/>
      <c r="D79" s="107" t="n"/>
      <c r="E79" s="107" t="n"/>
      <c r="F79" s="107" t="n"/>
      <c r="G79" s="133" t="n"/>
      <c r="H79" s="115">
        <f>IF(N($G79)=0,"",IF($F79="Tarjeta Citi",CFG_CITI,0))</f>
        <v/>
      </c>
      <c r="I79" s="112">
        <f>IF(N($G79)=0,"",$G79*$H79)</f>
        <v/>
      </c>
      <c r="J79" s="114">
        <f>IF(N($G79)=0,"",$G79+$I79)</f>
        <v/>
      </c>
      <c r="K79" s="107" t="n"/>
    </row>
    <row r="80">
      <c r="B80" s="132" t="n"/>
      <c r="C80" s="107" t="n"/>
      <c r="D80" s="107" t="n"/>
      <c r="E80" s="107" t="n"/>
      <c r="F80" s="107" t="n"/>
      <c r="G80" s="133" t="n"/>
      <c r="H80" s="115">
        <f>IF(N($G80)=0,"",IF($F80="Tarjeta Citi",CFG_CITI,0))</f>
        <v/>
      </c>
      <c r="I80" s="112">
        <f>IF(N($G80)=0,"",$G80*$H80)</f>
        <v/>
      </c>
      <c r="J80" s="114">
        <f>IF(N($G80)=0,"",$G80+$I80)</f>
        <v/>
      </c>
      <c r="K80" s="107" t="n"/>
    </row>
    <row r="81">
      <c r="B81" s="132" t="n"/>
      <c r="C81" s="107" t="n"/>
      <c r="D81" s="107" t="n"/>
      <c r="E81" s="107" t="n"/>
      <c r="F81" s="107" t="n"/>
      <c r="G81" s="133" t="n"/>
      <c r="H81" s="115">
        <f>IF(N($G81)=0,"",IF($F81="Tarjeta Citi",CFG_CITI,0))</f>
        <v/>
      </c>
      <c r="I81" s="112">
        <f>IF(N($G81)=0,"",$G81*$H81)</f>
        <v/>
      </c>
      <c r="J81" s="114">
        <f>IF(N($G81)=0,"",$G81+$I81)</f>
        <v/>
      </c>
      <c r="K81" s="107" t="n"/>
    </row>
    <row r="82">
      <c r="B82" s="132" t="n"/>
      <c r="C82" s="107" t="n"/>
      <c r="D82" s="107" t="n"/>
      <c r="E82" s="107" t="n"/>
      <c r="F82" s="107" t="n"/>
      <c r="G82" s="133" t="n"/>
      <c r="H82" s="115">
        <f>IF(N($G82)=0,"",IF($F82="Tarjeta Citi",CFG_CITI,0))</f>
        <v/>
      </c>
      <c r="I82" s="112">
        <f>IF(N($G82)=0,"",$G82*$H82)</f>
        <v/>
      </c>
      <c r="J82" s="114">
        <f>IF(N($G82)=0,"",$G82+$I82)</f>
        <v/>
      </c>
      <c r="K82" s="107" t="n"/>
    </row>
    <row r="83">
      <c r="B83" s="132" t="n"/>
      <c r="C83" s="107" t="n"/>
      <c r="D83" s="107" t="n"/>
      <c r="E83" s="107" t="n"/>
      <c r="F83" s="107" t="n"/>
      <c r="G83" s="133" t="n"/>
      <c r="H83" s="115">
        <f>IF(N($G83)=0,"",IF($F83="Tarjeta Citi",CFG_CITI,0))</f>
        <v/>
      </c>
      <c r="I83" s="112">
        <f>IF(N($G83)=0,"",$G83*$H83)</f>
        <v/>
      </c>
      <c r="J83" s="114">
        <f>IF(N($G83)=0,"",$G83+$I83)</f>
        <v/>
      </c>
      <c r="K83" s="107" t="n"/>
    </row>
    <row r="84">
      <c r="B84" s="132" t="n"/>
      <c r="C84" s="107" t="n"/>
      <c r="D84" s="107" t="n"/>
      <c r="E84" s="107" t="n"/>
      <c r="F84" s="107" t="n"/>
      <c r="G84" s="133" t="n"/>
      <c r="H84" s="115">
        <f>IF(N($G84)=0,"",IF($F84="Tarjeta Citi",CFG_CITI,0))</f>
        <v/>
      </c>
      <c r="I84" s="112">
        <f>IF(N($G84)=0,"",$G84*$H84)</f>
        <v/>
      </c>
      <c r="J84" s="114">
        <f>IF(N($G84)=0,"",$G84+$I84)</f>
        <v/>
      </c>
      <c r="K84" s="107" t="n"/>
    </row>
    <row r="85">
      <c r="B85" s="132" t="n"/>
      <c r="C85" s="107" t="n"/>
      <c r="D85" s="107" t="n"/>
      <c r="E85" s="107" t="n"/>
      <c r="F85" s="107" t="n"/>
      <c r="G85" s="133" t="n"/>
      <c r="H85" s="115">
        <f>IF(N($G85)=0,"",IF($F85="Tarjeta Citi",CFG_CITI,0))</f>
        <v/>
      </c>
      <c r="I85" s="112">
        <f>IF(N($G85)=0,"",$G85*$H85)</f>
        <v/>
      </c>
      <c r="J85" s="114">
        <f>IF(N($G85)=0,"",$G85+$I85)</f>
        <v/>
      </c>
      <c r="K85" s="107" t="n"/>
    </row>
    <row r="86">
      <c r="B86" s="132" t="n"/>
      <c r="C86" s="107" t="n"/>
      <c r="D86" s="107" t="n"/>
      <c r="E86" s="107" t="n"/>
      <c r="F86" s="107" t="n"/>
      <c r="G86" s="133" t="n"/>
      <c r="H86" s="115">
        <f>IF(N($G86)=0,"",IF($F86="Tarjeta Citi",CFG_CITI,0))</f>
        <v/>
      </c>
      <c r="I86" s="112">
        <f>IF(N($G86)=0,"",$G86*$H86)</f>
        <v/>
      </c>
      <c r="J86" s="114">
        <f>IF(N($G86)=0,"",$G86+$I86)</f>
        <v/>
      </c>
      <c r="K86" s="107" t="n"/>
    </row>
    <row r="87">
      <c r="B87" s="132" t="n"/>
      <c r="C87" s="107" t="n"/>
      <c r="D87" s="107" t="n"/>
      <c r="E87" s="107" t="n"/>
      <c r="F87" s="107" t="n"/>
      <c r="G87" s="133" t="n"/>
      <c r="H87" s="115">
        <f>IF(N($G87)=0,"",IF($F87="Tarjeta Citi",CFG_CITI,0))</f>
        <v/>
      </c>
      <c r="I87" s="112">
        <f>IF(N($G87)=0,"",$G87*$H87)</f>
        <v/>
      </c>
      <c r="J87" s="114">
        <f>IF(N($G87)=0,"",$G87+$I87)</f>
        <v/>
      </c>
      <c r="K87" s="107" t="n"/>
    </row>
    <row r="88">
      <c r="B88" s="132" t="n"/>
      <c r="C88" s="107" t="n"/>
      <c r="D88" s="107" t="n"/>
      <c r="E88" s="107" t="n"/>
      <c r="F88" s="107" t="n"/>
      <c r="G88" s="133" t="n"/>
      <c r="H88" s="115">
        <f>IF(N($G88)=0,"",IF($F88="Tarjeta Citi",CFG_CITI,0))</f>
        <v/>
      </c>
      <c r="I88" s="112">
        <f>IF(N($G88)=0,"",$G88*$H88)</f>
        <v/>
      </c>
      <c r="J88" s="114">
        <f>IF(N($G88)=0,"",$G88+$I88)</f>
        <v/>
      </c>
      <c r="K88" s="107" t="n"/>
    </row>
    <row r="89">
      <c r="B89" s="132" t="n"/>
      <c r="C89" s="107" t="n"/>
      <c r="D89" s="107" t="n"/>
      <c r="E89" s="107" t="n"/>
      <c r="F89" s="107" t="n"/>
      <c r="G89" s="133" t="n"/>
      <c r="H89" s="115">
        <f>IF(N($G89)=0,"",IF($F89="Tarjeta Citi",CFG_CITI,0))</f>
        <v/>
      </c>
      <c r="I89" s="112">
        <f>IF(N($G89)=0,"",$G89*$H89)</f>
        <v/>
      </c>
      <c r="J89" s="114">
        <f>IF(N($G89)=0,"",$G89+$I89)</f>
        <v/>
      </c>
      <c r="K89" s="107" t="n"/>
    </row>
    <row r="90">
      <c r="B90" s="132" t="n"/>
      <c r="C90" s="107" t="n"/>
      <c r="D90" s="107" t="n"/>
      <c r="E90" s="107" t="n"/>
      <c r="F90" s="107" t="n"/>
      <c r="G90" s="133" t="n"/>
      <c r="H90" s="115">
        <f>IF(N($G90)=0,"",IF($F90="Tarjeta Citi",CFG_CITI,0))</f>
        <v/>
      </c>
      <c r="I90" s="112">
        <f>IF(N($G90)=0,"",$G90*$H90)</f>
        <v/>
      </c>
      <c r="J90" s="114">
        <f>IF(N($G90)=0,"",$G90+$I90)</f>
        <v/>
      </c>
      <c r="K90" s="107" t="n"/>
    </row>
    <row r="91">
      <c r="B91" s="132" t="n"/>
      <c r="C91" s="107" t="n"/>
      <c r="D91" s="107" t="n"/>
      <c r="E91" s="107" t="n"/>
      <c r="F91" s="107" t="n"/>
      <c r="G91" s="133" t="n"/>
      <c r="H91" s="115">
        <f>IF(N($G91)=0,"",IF($F91="Tarjeta Citi",CFG_CITI,0))</f>
        <v/>
      </c>
      <c r="I91" s="112">
        <f>IF(N($G91)=0,"",$G91*$H91)</f>
        <v/>
      </c>
      <c r="J91" s="114">
        <f>IF(N($G91)=0,"",$G91+$I91)</f>
        <v/>
      </c>
      <c r="K91" s="107" t="n"/>
    </row>
    <row r="92">
      <c r="B92" s="132" t="n"/>
      <c r="C92" s="107" t="n"/>
      <c r="D92" s="107" t="n"/>
      <c r="E92" s="107" t="n"/>
      <c r="F92" s="107" t="n"/>
      <c r="G92" s="133" t="n"/>
      <c r="H92" s="115">
        <f>IF(N($G92)=0,"",IF($F92="Tarjeta Citi",CFG_CITI,0))</f>
        <v/>
      </c>
      <c r="I92" s="112">
        <f>IF(N($G92)=0,"",$G92*$H92)</f>
        <v/>
      </c>
      <c r="J92" s="114">
        <f>IF(N($G92)=0,"",$G92+$I92)</f>
        <v/>
      </c>
      <c r="K92" s="107" t="n"/>
    </row>
    <row r="93">
      <c r="B93" s="132" t="n"/>
      <c r="C93" s="107" t="n"/>
      <c r="D93" s="107" t="n"/>
      <c r="E93" s="107" t="n"/>
      <c r="F93" s="107" t="n"/>
      <c r="G93" s="133" t="n"/>
      <c r="H93" s="115">
        <f>IF(N($G93)=0,"",IF($F93="Tarjeta Citi",CFG_CITI,0))</f>
        <v/>
      </c>
      <c r="I93" s="112">
        <f>IF(N($G93)=0,"",$G93*$H93)</f>
        <v/>
      </c>
      <c r="J93" s="114">
        <f>IF(N($G93)=0,"",$G93+$I93)</f>
        <v/>
      </c>
      <c r="K93" s="107" t="n"/>
    </row>
    <row r="94">
      <c r="B94" s="132" t="n"/>
      <c r="C94" s="107" t="n"/>
      <c r="D94" s="107" t="n"/>
      <c r="E94" s="107" t="n"/>
      <c r="F94" s="107" t="n"/>
      <c r="G94" s="133" t="n"/>
      <c r="H94" s="115">
        <f>IF(N($G94)=0,"",IF($F94="Tarjeta Citi",CFG_CITI,0))</f>
        <v/>
      </c>
      <c r="I94" s="112">
        <f>IF(N($G94)=0,"",$G94*$H94)</f>
        <v/>
      </c>
      <c r="J94" s="114">
        <f>IF(N($G94)=0,"",$G94+$I94)</f>
        <v/>
      </c>
      <c r="K94" s="107" t="n"/>
    </row>
    <row r="95">
      <c r="B95" s="132" t="n"/>
      <c r="C95" s="107" t="n"/>
      <c r="D95" s="107" t="n"/>
      <c r="E95" s="107" t="n"/>
      <c r="F95" s="107" t="n"/>
      <c r="G95" s="133" t="n"/>
      <c r="H95" s="115">
        <f>IF(N($G95)=0,"",IF($F95="Tarjeta Citi",CFG_CITI,0))</f>
        <v/>
      </c>
      <c r="I95" s="112">
        <f>IF(N($G95)=0,"",$G95*$H95)</f>
        <v/>
      </c>
      <c r="J95" s="114">
        <f>IF(N($G95)=0,"",$G95+$I95)</f>
        <v/>
      </c>
      <c r="K95" s="107" t="n"/>
    </row>
    <row r="96">
      <c r="B96" s="132" t="n"/>
      <c r="C96" s="107" t="n"/>
      <c r="D96" s="107" t="n"/>
      <c r="E96" s="107" t="n"/>
      <c r="F96" s="107" t="n"/>
      <c r="G96" s="133" t="n"/>
      <c r="H96" s="115">
        <f>IF(N($G96)=0,"",IF($F96="Tarjeta Citi",CFG_CITI,0))</f>
        <v/>
      </c>
      <c r="I96" s="112">
        <f>IF(N($G96)=0,"",$G96*$H96)</f>
        <v/>
      </c>
      <c r="J96" s="114">
        <f>IF(N($G96)=0,"",$G96+$I96)</f>
        <v/>
      </c>
      <c r="K96" s="107" t="n"/>
    </row>
    <row r="97">
      <c r="B97" s="132" t="n"/>
      <c r="C97" s="107" t="n"/>
      <c r="D97" s="107" t="n"/>
      <c r="E97" s="107" t="n"/>
      <c r="F97" s="107" t="n"/>
      <c r="G97" s="133" t="n"/>
      <c r="H97" s="115">
        <f>IF(N($G97)=0,"",IF($F97="Tarjeta Citi",CFG_CITI,0))</f>
        <v/>
      </c>
      <c r="I97" s="112">
        <f>IF(N($G97)=0,"",$G97*$H97)</f>
        <v/>
      </c>
      <c r="J97" s="114">
        <f>IF(N($G97)=0,"",$G97+$I97)</f>
        <v/>
      </c>
      <c r="K97" s="107" t="n"/>
    </row>
    <row r="98">
      <c r="B98" s="132" t="n"/>
      <c r="C98" s="107" t="n"/>
      <c r="D98" s="107" t="n"/>
      <c r="E98" s="107" t="n"/>
      <c r="F98" s="107" t="n"/>
      <c r="G98" s="133" t="n"/>
      <c r="H98" s="115">
        <f>IF(N($G98)=0,"",IF($F98="Tarjeta Citi",CFG_CITI,0))</f>
        <v/>
      </c>
      <c r="I98" s="112">
        <f>IF(N($G98)=0,"",$G98*$H98)</f>
        <v/>
      </c>
      <c r="J98" s="114">
        <f>IF(N($G98)=0,"",$G98+$I98)</f>
        <v/>
      </c>
      <c r="K98" s="107" t="n"/>
    </row>
    <row r="99">
      <c r="B99" s="132" t="n"/>
      <c r="C99" s="107" t="n"/>
      <c r="D99" s="107" t="n"/>
      <c r="E99" s="107" t="n"/>
      <c r="F99" s="107" t="n"/>
      <c r="G99" s="133" t="n"/>
      <c r="H99" s="115">
        <f>IF(N($G99)=0,"",IF($F99="Tarjeta Citi",CFG_CITI,0))</f>
        <v/>
      </c>
      <c r="I99" s="112">
        <f>IF(N($G99)=0,"",$G99*$H99)</f>
        <v/>
      </c>
      <c r="J99" s="114">
        <f>IF(N($G99)=0,"",$G99+$I99)</f>
        <v/>
      </c>
      <c r="K99" s="107" t="n"/>
    </row>
    <row r="100">
      <c r="B100" s="132" t="n"/>
      <c r="C100" s="107" t="n"/>
      <c r="D100" s="107" t="n"/>
      <c r="E100" s="107" t="n"/>
      <c r="F100" s="107" t="n"/>
      <c r="G100" s="133" t="n"/>
      <c r="H100" s="115">
        <f>IF(N($G100)=0,"",IF($F100="Tarjeta Citi",CFG_CITI,0))</f>
        <v/>
      </c>
      <c r="I100" s="112">
        <f>IF(N($G100)=0,"",$G100*$H100)</f>
        <v/>
      </c>
      <c r="J100" s="114">
        <f>IF(N($G100)=0,"",$G100+$I100)</f>
        <v/>
      </c>
      <c r="K100" s="107" t="n"/>
    </row>
    <row r="101">
      <c r="B101" s="132" t="n"/>
      <c r="C101" s="107" t="n"/>
      <c r="D101" s="107" t="n"/>
      <c r="E101" s="107" t="n"/>
      <c r="F101" s="107" t="n"/>
      <c r="G101" s="133" t="n"/>
      <c r="H101" s="115">
        <f>IF(N($G101)=0,"",IF($F101="Tarjeta Citi",CFG_CITI,0))</f>
        <v/>
      </c>
      <c r="I101" s="112">
        <f>IF(N($G101)=0,"",$G101*$H101)</f>
        <v/>
      </c>
      <c r="J101" s="114">
        <f>IF(N($G101)=0,"",$G101+$I101)</f>
        <v/>
      </c>
      <c r="K101" s="107" t="n"/>
    </row>
    <row r="102">
      <c r="B102" s="132" t="n"/>
      <c r="C102" s="107" t="n"/>
      <c r="D102" s="107" t="n"/>
      <c r="E102" s="107" t="n"/>
      <c r="F102" s="107" t="n"/>
      <c r="G102" s="133" t="n"/>
      <c r="H102" s="115">
        <f>IF(N($G102)=0,"",IF($F102="Tarjeta Citi",CFG_CITI,0))</f>
        <v/>
      </c>
      <c r="I102" s="112">
        <f>IF(N($G102)=0,"",$G102*$H102)</f>
        <v/>
      </c>
      <c r="J102" s="114">
        <f>IF(N($G102)=0,"",$G102+$I102)</f>
        <v/>
      </c>
      <c r="K102" s="107" t="n"/>
    </row>
    <row r="103">
      <c r="B103" s="132" t="n"/>
      <c r="C103" s="107" t="n"/>
      <c r="D103" s="107" t="n"/>
      <c r="E103" s="107" t="n"/>
      <c r="F103" s="107" t="n"/>
      <c r="G103" s="133" t="n"/>
      <c r="H103" s="115">
        <f>IF(N($G103)=0,"",IF($F103="Tarjeta Citi",CFG_CITI,0))</f>
        <v/>
      </c>
      <c r="I103" s="112">
        <f>IF(N($G103)=0,"",$G103*$H103)</f>
        <v/>
      </c>
      <c r="J103" s="114">
        <f>IF(N($G103)=0,"",$G103+$I103)</f>
        <v/>
      </c>
      <c r="K103" s="107" t="n"/>
    </row>
    <row r="104">
      <c r="B104" s="132" t="n"/>
      <c r="C104" s="107" t="n"/>
      <c r="D104" s="107" t="n"/>
      <c r="E104" s="107" t="n"/>
      <c r="F104" s="107" t="n"/>
      <c r="G104" s="133" t="n"/>
      <c r="H104" s="115">
        <f>IF(N($G104)=0,"",IF($F104="Tarjeta Citi",CFG_CITI,0))</f>
        <v/>
      </c>
      <c r="I104" s="112">
        <f>IF(N($G104)=0,"",$G104*$H104)</f>
        <v/>
      </c>
      <c r="J104" s="114">
        <f>IF(N($G104)=0,"",$G104+$I104)</f>
        <v/>
      </c>
      <c r="K104" s="107" t="n"/>
    </row>
    <row r="105">
      <c r="B105" s="132" t="n"/>
      <c r="C105" s="107" t="n"/>
      <c r="D105" s="107" t="n"/>
      <c r="E105" s="107" t="n"/>
      <c r="F105" s="107" t="n"/>
      <c r="G105" s="133" t="n"/>
      <c r="H105" s="115">
        <f>IF(N($G105)=0,"",IF($F105="Tarjeta Citi",CFG_CITI,0))</f>
        <v/>
      </c>
      <c r="I105" s="112">
        <f>IF(N($G105)=0,"",$G105*$H105)</f>
        <v/>
      </c>
      <c r="J105" s="114">
        <f>IF(N($G105)=0,"",$G105+$I105)</f>
        <v/>
      </c>
      <c r="K105" s="107" t="n"/>
    </row>
    <row r="106">
      <c r="B106" s="132" t="n"/>
      <c r="C106" s="107" t="n"/>
      <c r="D106" s="107" t="n"/>
      <c r="E106" s="107" t="n"/>
      <c r="F106" s="107" t="n"/>
      <c r="G106" s="133" t="n"/>
      <c r="H106" s="115">
        <f>IF(N($G106)=0,"",IF($F106="Tarjeta Citi",CFG_CITI,0))</f>
        <v/>
      </c>
      <c r="I106" s="112">
        <f>IF(N($G106)=0,"",$G106*$H106)</f>
        <v/>
      </c>
      <c r="J106" s="114">
        <f>IF(N($G106)=0,"",$G106+$I106)</f>
        <v/>
      </c>
      <c r="K106" s="107" t="n"/>
    </row>
    <row r="107">
      <c r="B107" s="132" t="n"/>
      <c r="C107" s="107" t="n"/>
      <c r="D107" s="107" t="n"/>
      <c r="E107" s="107" t="n"/>
      <c r="F107" s="107" t="n"/>
      <c r="G107" s="133" t="n"/>
      <c r="H107" s="115">
        <f>IF(N($G107)=0,"",IF($F107="Tarjeta Citi",CFG_CITI,0))</f>
        <v/>
      </c>
      <c r="I107" s="112">
        <f>IF(N($G107)=0,"",$G107*$H107)</f>
        <v/>
      </c>
      <c r="J107" s="114">
        <f>IF(N($G107)=0,"",$G107+$I107)</f>
        <v/>
      </c>
      <c r="K107" s="107" t="n"/>
    </row>
    <row r="108">
      <c r="B108" s="132" t="n"/>
      <c r="C108" s="107" t="n"/>
      <c r="D108" s="107" t="n"/>
      <c r="E108" s="107" t="n"/>
      <c r="F108" s="107" t="n"/>
      <c r="G108" s="133" t="n"/>
      <c r="H108" s="115">
        <f>IF(N($G108)=0,"",IF($F108="Tarjeta Citi",CFG_CITI,0))</f>
        <v/>
      </c>
      <c r="I108" s="112">
        <f>IF(N($G108)=0,"",$G108*$H108)</f>
        <v/>
      </c>
      <c r="J108" s="114">
        <f>IF(N($G108)=0,"",$G108+$I108)</f>
        <v/>
      </c>
      <c r="K108" s="107" t="n"/>
    </row>
    <row r="109">
      <c r="B109" s="132" t="n"/>
      <c r="C109" s="107" t="n"/>
      <c r="D109" s="107" t="n"/>
      <c r="E109" s="107" t="n"/>
      <c r="F109" s="107" t="n"/>
      <c r="G109" s="133" t="n"/>
      <c r="H109" s="115">
        <f>IF(N($G109)=0,"",IF($F109="Tarjeta Citi",CFG_CITI,0))</f>
        <v/>
      </c>
      <c r="I109" s="112">
        <f>IF(N($G109)=0,"",$G109*$H109)</f>
        <v/>
      </c>
      <c r="J109" s="114">
        <f>IF(N($G109)=0,"",$G109+$I109)</f>
        <v/>
      </c>
      <c r="K109" s="107" t="n"/>
    </row>
    <row r="110">
      <c r="B110" s="132" t="n"/>
      <c r="C110" s="107" t="n"/>
      <c r="D110" s="107" t="n"/>
      <c r="E110" s="107" t="n"/>
      <c r="F110" s="107" t="n"/>
      <c r="G110" s="133" t="n"/>
      <c r="H110" s="115">
        <f>IF(N($G110)=0,"",IF($F110="Tarjeta Citi",CFG_CITI,0))</f>
        <v/>
      </c>
      <c r="I110" s="112">
        <f>IF(N($G110)=0,"",$G110*$H110)</f>
        <v/>
      </c>
      <c r="J110" s="114">
        <f>IF(N($G110)=0,"",$G110+$I110)</f>
        <v/>
      </c>
      <c r="K110" s="107" t="n"/>
    </row>
    <row r="111">
      <c r="B111" s="132" t="n"/>
      <c r="C111" s="107" t="n"/>
      <c r="D111" s="107" t="n"/>
      <c r="E111" s="107" t="n"/>
      <c r="F111" s="107" t="n"/>
      <c r="G111" s="133" t="n"/>
      <c r="H111" s="115">
        <f>IF(N($G111)=0,"",IF($F111="Tarjeta Citi",CFG_CITI,0))</f>
        <v/>
      </c>
      <c r="I111" s="112">
        <f>IF(N($G111)=0,"",$G111*$H111)</f>
        <v/>
      </c>
      <c r="J111" s="114">
        <f>IF(N($G111)=0,"",$G111+$I111)</f>
        <v/>
      </c>
      <c r="K111" s="107" t="n"/>
    </row>
    <row r="112">
      <c r="B112" s="132" t="n"/>
      <c r="C112" s="107" t="n"/>
      <c r="D112" s="107" t="n"/>
      <c r="E112" s="107" t="n"/>
      <c r="F112" s="107" t="n"/>
      <c r="G112" s="133" t="n"/>
      <c r="H112" s="115">
        <f>IF(N($G112)=0,"",IF($F112="Tarjeta Citi",CFG_CITI,0))</f>
        <v/>
      </c>
      <c r="I112" s="112">
        <f>IF(N($G112)=0,"",$G112*$H112)</f>
        <v/>
      </c>
      <c r="J112" s="114">
        <f>IF(N($G112)=0,"",$G112+$I112)</f>
        <v/>
      </c>
      <c r="K112" s="107" t="n"/>
    </row>
    <row r="113">
      <c r="B113" s="132" t="n"/>
      <c r="C113" s="107" t="n"/>
      <c r="D113" s="107" t="n"/>
      <c r="E113" s="107" t="n"/>
      <c r="F113" s="107" t="n"/>
      <c r="G113" s="133" t="n"/>
      <c r="H113" s="115">
        <f>IF(N($G113)=0,"",IF($F113="Tarjeta Citi",CFG_CITI,0))</f>
        <v/>
      </c>
      <c r="I113" s="112">
        <f>IF(N($G113)=0,"",$G113*$H113)</f>
        <v/>
      </c>
      <c r="J113" s="114">
        <f>IF(N($G113)=0,"",$G113+$I113)</f>
        <v/>
      </c>
      <c r="K113" s="107" t="n"/>
    </row>
    <row r="114">
      <c r="B114" s="132" t="n"/>
      <c r="C114" s="107" t="n"/>
      <c r="D114" s="107" t="n"/>
      <c r="E114" s="107" t="n"/>
      <c r="F114" s="107" t="n"/>
      <c r="G114" s="133" t="n"/>
      <c r="H114" s="115">
        <f>IF(N($G114)=0,"",IF($F114="Tarjeta Citi",CFG_CITI,0))</f>
        <v/>
      </c>
      <c r="I114" s="112">
        <f>IF(N($G114)=0,"",$G114*$H114)</f>
        <v/>
      </c>
      <c r="J114" s="114">
        <f>IF(N($G114)=0,"",$G114+$I114)</f>
        <v/>
      </c>
      <c r="K114" s="107" t="n"/>
    </row>
    <row r="115">
      <c r="B115" s="132" t="n"/>
      <c r="C115" s="107" t="n"/>
      <c r="D115" s="107" t="n"/>
      <c r="E115" s="107" t="n"/>
      <c r="F115" s="107" t="n"/>
      <c r="G115" s="133" t="n"/>
      <c r="H115" s="115">
        <f>IF(N($G115)=0,"",IF($F115="Tarjeta Citi",CFG_CITI,0))</f>
        <v/>
      </c>
      <c r="I115" s="112">
        <f>IF(N($G115)=0,"",$G115*$H115)</f>
        <v/>
      </c>
      <c r="J115" s="114">
        <f>IF(N($G115)=0,"",$G115+$I115)</f>
        <v/>
      </c>
      <c r="K115" s="107" t="n"/>
    </row>
    <row r="116">
      <c r="B116" s="132" t="n"/>
      <c r="C116" s="107" t="n"/>
      <c r="D116" s="107" t="n"/>
      <c r="E116" s="107" t="n"/>
      <c r="F116" s="107" t="n"/>
      <c r="G116" s="133" t="n"/>
      <c r="H116" s="115">
        <f>IF(N($G116)=0,"",IF($F116="Tarjeta Citi",CFG_CITI,0))</f>
        <v/>
      </c>
      <c r="I116" s="112">
        <f>IF(N($G116)=0,"",$G116*$H116)</f>
        <v/>
      </c>
      <c r="J116" s="114">
        <f>IF(N($G116)=0,"",$G116+$I116)</f>
        <v/>
      </c>
      <c r="K116" s="107" t="n"/>
    </row>
    <row r="117">
      <c r="B117" s="132" t="n"/>
      <c r="C117" s="107" t="n"/>
      <c r="D117" s="107" t="n"/>
      <c r="E117" s="107" t="n"/>
      <c r="F117" s="107" t="n"/>
      <c r="G117" s="133" t="n"/>
      <c r="H117" s="115">
        <f>IF(N($G117)=0,"",IF($F117="Tarjeta Citi",CFG_CITI,0))</f>
        <v/>
      </c>
      <c r="I117" s="112">
        <f>IF(N($G117)=0,"",$G117*$H117)</f>
        <v/>
      </c>
      <c r="J117" s="114">
        <f>IF(N($G117)=0,"",$G117+$I117)</f>
        <v/>
      </c>
      <c r="K117" s="107" t="n"/>
    </row>
    <row r="118">
      <c r="B118" s="132" t="n"/>
      <c r="C118" s="107" t="n"/>
      <c r="D118" s="107" t="n"/>
      <c r="E118" s="107" t="n"/>
      <c r="F118" s="107" t="n"/>
      <c r="G118" s="133" t="n"/>
      <c r="H118" s="115">
        <f>IF(N($G118)=0,"",IF($F118="Tarjeta Citi",CFG_CITI,0))</f>
        <v/>
      </c>
      <c r="I118" s="112">
        <f>IF(N($G118)=0,"",$G118*$H118)</f>
        <v/>
      </c>
      <c r="J118" s="114">
        <f>IF(N($G118)=0,"",$G118+$I118)</f>
        <v/>
      </c>
      <c r="K118" s="107" t="n"/>
    </row>
    <row r="119">
      <c r="B119" s="132" t="n"/>
      <c r="C119" s="107" t="n"/>
      <c r="D119" s="107" t="n"/>
      <c r="E119" s="107" t="n"/>
      <c r="F119" s="107" t="n"/>
      <c r="G119" s="133" t="n"/>
      <c r="H119" s="115">
        <f>IF(N($G119)=0,"",IF($F119="Tarjeta Citi",CFG_CITI,0))</f>
        <v/>
      </c>
      <c r="I119" s="112">
        <f>IF(N($G119)=0,"",$G119*$H119)</f>
        <v/>
      </c>
      <c r="J119" s="114">
        <f>IF(N($G119)=0,"",$G119+$I119)</f>
        <v/>
      </c>
      <c r="K119" s="107" t="n"/>
    </row>
    <row r="120">
      <c r="B120" s="132" t="n"/>
      <c r="C120" s="107" t="n"/>
      <c r="D120" s="107" t="n"/>
      <c r="E120" s="107" t="n"/>
      <c r="F120" s="107" t="n"/>
      <c r="G120" s="133" t="n"/>
      <c r="H120" s="115">
        <f>IF(N($G120)=0,"",IF($F120="Tarjeta Citi",CFG_CITI,0))</f>
        <v/>
      </c>
      <c r="I120" s="112">
        <f>IF(N($G120)=0,"",$G120*$H120)</f>
        <v/>
      </c>
      <c r="J120" s="114">
        <f>IF(N($G120)=0,"",$G120+$I120)</f>
        <v/>
      </c>
      <c r="K120" s="107" t="n"/>
    </row>
    <row r="121">
      <c r="B121" s="132" t="n"/>
      <c r="C121" s="107" t="n"/>
      <c r="D121" s="107" t="n"/>
      <c r="E121" s="107" t="n"/>
      <c r="F121" s="107" t="n"/>
      <c r="G121" s="133" t="n"/>
      <c r="H121" s="115">
        <f>IF(N($G121)=0,"",IF($F121="Tarjeta Citi",CFG_CITI,0))</f>
        <v/>
      </c>
      <c r="I121" s="112">
        <f>IF(N($G121)=0,"",$G121*$H121)</f>
        <v/>
      </c>
      <c r="J121" s="114">
        <f>IF(N($G121)=0,"",$G121+$I121)</f>
        <v/>
      </c>
      <c r="K121" s="107" t="n"/>
    </row>
    <row r="122">
      <c r="B122" s="132" t="n"/>
      <c r="C122" s="107" t="n"/>
      <c r="D122" s="107" t="n"/>
      <c r="E122" s="107" t="n"/>
      <c r="F122" s="107" t="n"/>
      <c r="G122" s="133" t="n"/>
      <c r="H122" s="115">
        <f>IF(N($G122)=0,"",IF($F122="Tarjeta Citi",CFG_CITI,0))</f>
        <v/>
      </c>
      <c r="I122" s="112">
        <f>IF(N($G122)=0,"",$G122*$H122)</f>
        <v/>
      </c>
      <c r="J122" s="114">
        <f>IF(N($G122)=0,"",$G122+$I122)</f>
        <v/>
      </c>
      <c r="K122" s="107" t="n"/>
    </row>
    <row r="123">
      <c r="B123" s="132" t="n"/>
      <c r="C123" s="107" t="n"/>
      <c r="D123" s="107" t="n"/>
      <c r="E123" s="107" t="n"/>
      <c r="F123" s="107" t="n"/>
      <c r="G123" s="133" t="n"/>
      <c r="H123" s="115">
        <f>IF(N($G123)=0,"",IF($F123="Tarjeta Citi",CFG_CITI,0))</f>
        <v/>
      </c>
      <c r="I123" s="112">
        <f>IF(N($G123)=0,"",$G123*$H123)</f>
        <v/>
      </c>
      <c r="J123" s="114">
        <f>IF(N($G123)=0,"",$G123+$I123)</f>
        <v/>
      </c>
      <c r="K123" s="107" t="n"/>
    </row>
    <row r="124">
      <c r="B124" s="132" t="n"/>
      <c r="C124" s="107" t="n"/>
      <c r="D124" s="107" t="n"/>
      <c r="E124" s="107" t="n"/>
      <c r="F124" s="107" t="n"/>
      <c r="G124" s="133" t="n"/>
      <c r="H124" s="115">
        <f>IF(N($G124)=0,"",IF($F124="Tarjeta Citi",CFG_CITI,0))</f>
        <v/>
      </c>
      <c r="I124" s="112">
        <f>IF(N($G124)=0,"",$G124*$H124)</f>
        <v/>
      </c>
      <c r="J124" s="114">
        <f>IF(N($G124)=0,"",$G124+$I124)</f>
        <v/>
      </c>
      <c r="K124" s="107" t="n"/>
    </row>
    <row r="125">
      <c r="B125" s="132" t="n"/>
      <c r="C125" s="107" t="n"/>
      <c r="D125" s="107" t="n"/>
      <c r="E125" s="107" t="n"/>
      <c r="F125" s="107" t="n"/>
      <c r="G125" s="133" t="n"/>
      <c r="H125" s="115">
        <f>IF(N($G125)=0,"",IF($F125="Tarjeta Citi",CFG_CITI,0))</f>
        <v/>
      </c>
      <c r="I125" s="112">
        <f>IF(N($G125)=0,"",$G125*$H125)</f>
        <v/>
      </c>
      <c r="J125" s="114">
        <f>IF(N($G125)=0,"",$G125+$I125)</f>
        <v/>
      </c>
      <c r="K125" s="107" t="n"/>
    </row>
    <row r="126">
      <c r="B126" s="132" t="n"/>
      <c r="C126" s="107" t="n"/>
      <c r="D126" s="107" t="n"/>
      <c r="E126" s="107" t="n"/>
      <c r="F126" s="107" t="n"/>
      <c r="G126" s="133" t="n"/>
      <c r="H126" s="115">
        <f>IF(N($G126)=0,"",IF($F126="Tarjeta Citi",CFG_CITI,0))</f>
        <v/>
      </c>
      <c r="I126" s="112">
        <f>IF(N($G126)=0,"",$G126*$H126)</f>
        <v/>
      </c>
      <c r="J126" s="114">
        <f>IF(N($G126)=0,"",$G126+$I126)</f>
        <v/>
      </c>
      <c r="K126" s="107" t="n"/>
    </row>
    <row r="127">
      <c r="B127" s="132" t="n"/>
      <c r="C127" s="107" t="n"/>
      <c r="D127" s="107" t="n"/>
      <c r="E127" s="107" t="n"/>
      <c r="F127" s="107" t="n"/>
      <c r="G127" s="133" t="n"/>
      <c r="H127" s="115">
        <f>IF(N($G127)=0,"",IF($F127="Tarjeta Citi",CFG_CITI,0))</f>
        <v/>
      </c>
      <c r="I127" s="112">
        <f>IF(N($G127)=0,"",$G127*$H127)</f>
        <v/>
      </c>
      <c r="J127" s="114">
        <f>IF(N($G127)=0,"",$G127+$I127)</f>
        <v/>
      </c>
      <c r="K127" s="107" t="n"/>
    </row>
    <row r="128">
      <c r="B128" s="132" t="n"/>
      <c r="C128" s="107" t="n"/>
      <c r="D128" s="107" t="n"/>
      <c r="E128" s="107" t="n"/>
      <c r="F128" s="107" t="n"/>
      <c r="G128" s="133" t="n"/>
      <c r="H128" s="115">
        <f>IF(N($G128)=0,"",IF($F128="Tarjeta Citi",CFG_CITI,0))</f>
        <v/>
      </c>
      <c r="I128" s="112">
        <f>IF(N($G128)=0,"",$G128*$H128)</f>
        <v/>
      </c>
      <c r="J128" s="114">
        <f>IF(N($G128)=0,"",$G128+$I128)</f>
        <v/>
      </c>
      <c r="K128" s="107" t="n"/>
    </row>
    <row r="129">
      <c r="B129" s="132" t="n"/>
      <c r="C129" s="107" t="n"/>
      <c r="D129" s="107" t="n"/>
      <c r="E129" s="107" t="n"/>
      <c r="F129" s="107" t="n"/>
      <c r="G129" s="133" t="n"/>
      <c r="H129" s="115">
        <f>IF(N($G129)=0,"",IF($F129="Tarjeta Citi",CFG_CITI,0))</f>
        <v/>
      </c>
      <c r="I129" s="112">
        <f>IF(N($G129)=0,"",$G129*$H129)</f>
        <v/>
      </c>
      <c r="J129" s="114">
        <f>IF(N($G129)=0,"",$G129+$I129)</f>
        <v/>
      </c>
      <c r="K129" s="107" t="n"/>
    </row>
    <row r="130">
      <c r="B130" s="132" t="n"/>
      <c r="C130" s="107" t="n"/>
      <c r="D130" s="107" t="n"/>
      <c r="E130" s="107" t="n"/>
      <c r="F130" s="107" t="n"/>
      <c r="G130" s="133" t="n"/>
      <c r="H130" s="115">
        <f>IF(N($G130)=0,"",IF($F130="Tarjeta Citi",CFG_CITI,0))</f>
        <v/>
      </c>
      <c r="I130" s="112">
        <f>IF(N($G130)=0,"",$G130*$H130)</f>
        <v/>
      </c>
      <c r="J130" s="114">
        <f>IF(N($G130)=0,"",$G130+$I130)</f>
        <v/>
      </c>
      <c r="K130" s="107" t="n"/>
    </row>
    <row r="131">
      <c r="B131" s="132" t="n"/>
      <c r="C131" s="107" t="n"/>
      <c r="D131" s="107" t="n"/>
      <c r="E131" s="107" t="n"/>
      <c r="F131" s="107" t="n"/>
      <c r="G131" s="133" t="n"/>
      <c r="H131" s="115">
        <f>IF(N($G131)=0,"",IF($F131="Tarjeta Citi",CFG_CITI,0))</f>
        <v/>
      </c>
      <c r="I131" s="112">
        <f>IF(N($G131)=0,"",$G131*$H131)</f>
        <v/>
      </c>
      <c r="J131" s="114">
        <f>IF(N($G131)=0,"",$G131+$I131)</f>
        <v/>
      </c>
      <c r="K131" s="107" t="n"/>
    </row>
    <row r="132">
      <c r="B132" s="132" t="n"/>
      <c r="C132" s="107" t="n"/>
      <c r="D132" s="107" t="n"/>
      <c r="E132" s="107" t="n"/>
      <c r="F132" s="107" t="n"/>
      <c r="G132" s="133" t="n"/>
      <c r="H132" s="115">
        <f>IF(N($G132)=0,"",IF($F132="Tarjeta Citi",CFG_CITI,0))</f>
        <v/>
      </c>
      <c r="I132" s="112">
        <f>IF(N($G132)=0,"",$G132*$H132)</f>
        <v/>
      </c>
      <c r="J132" s="114">
        <f>IF(N($G132)=0,"",$G132+$I132)</f>
        <v/>
      </c>
      <c r="K132" s="107" t="n"/>
    </row>
    <row r="133">
      <c r="B133" s="132" t="n"/>
      <c r="C133" s="107" t="n"/>
      <c r="D133" s="107" t="n"/>
      <c r="E133" s="107" t="n"/>
      <c r="F133" s="107" t="n"/>
      <c r="G133" s="133" t="n"/>
      <c r="H133" s="115">
        <f>IF(N($G133)=0,"",IF($F133="Tarjeta Citi",CFG_CITI,0))</f>
        <v/>
      </c>
      <c r="I133" s="112">
        <f>IF(N($G133)=0,"",$G133*$H133)</f>
        <v/>
      </c>
      <c r="J133" s="114">
        <f>IF(N($G133)=0,"",$G133+$I133)</f>
        <v/>
      </c>
      <c r="K133" s="107" t="n"/>
    </row>
    <row r="134">
      <c r="B134" s="132" t="n"/>
      <c r="C134" s="107" t="n"/>
      <c r="D134" s="107" t="n"/>
      <c r="E134" s="107" t="n"/>
      <c r="F134" s="107" t="n"/>
      <c r="G134" s="133" t="n"/>
      <c r="H134" s="115">
        <f>IF(N($G134)=0,"",IF($F134="Tarjeta Citi",CFG_CITI,0))</f>
        <v/>
      </c>
      <c r="I134" s="112">
        <f>IF(N($G134)=0,"",$G134*$H134)</f>
        <v/>
      </c>
      <c r="J134" s="114">
        <f>IF(N($G134)=0,"",$G134+$I134)</f>
        <v/>
      </c>
      <c r="K134" s="107" t="n"/>
    </row>
    <row r="135">
      <c r="B135" s="132" t="n"/>
      <c r="C135" s="107" t="n"/>
      <c r="D135" s="107" t="n"/>
      <c r="E135" s="107" t="n"/>
      <c r="F135" s="107" t="n"/>
      <c r="G135" s="133" t="n"/>
      <c r="H135" s="115">
        <f>IF(N($G135)=0,"",IF($F135="Tarjeta Citi",CFG_CITI,0))</f>
        <v/>
      </c>
      <c r="I135" s="112">
        <f>IF(N($G135)=0,"",$G135*$H135)</f>
        <v/>
      </c>
      <c r="J135" s="114">
        <f>IF(N($G135)=0,"",$G135+$I135)</f>
        <v/>
      </c>
      <c r="K135" s="107" t="n"/>
    </row>
    <row r="136">
      <c r="B136" s="132" t="n"/>
      <c r="C136" s="107" t="n"/>
      <c r="D136" s="107" t="n"/>
      <c r="E136" s="107" t="n"/>
      <c r="F136" s="107" t="n"/>
      <c r="G136" s="133" t="n"/>
      <c r="H136" s="115">
        <f>IF(N($G136)=0,"",IF($F136="Tarjeta Citi",CFG_CITI,0))</f>
        <v/>
      </c>
      <c r="I136" s="112">
        <f>IF(N($G136)=0,"",$G136*$H136)</f>
        <v/>
      </c>
      <c r="J136" s="114">
        <f>IF(N($G136)=0,"",$G136+$I136)</f>
        <v/>
      </c>
      <c r="K136" s="107" t="n"/>
    </row>
    <row r="137">
      <c r="B137" s="132" t="n"/>
      <c r="C137" s="107" t="n"/>
      <c r="D137" s="107" t="n"/>
      <c r="E137" s="107" t="n"/>
      <c r="F137" s="107" t="n"/>
      <c r="G137" s="133" t="n"/>
      <c r="H137" s="115">
        <f>IF(N($G137)=0,"",IF($F137="Tarjeta Citi",CFG_CITI,0))</f>
        <v/>
      </c>
      <c r="I137" s="112">
        <f>IF(N($G137)=0,"",$G137*$H137)</f>
        <v/>
      </c>
      <c r="J137" s="114">
        <f>IF(N($G137)=0,"",$G137+$I137)</f>
        <v/>
      </c>
      <c r="K137" s="107" t="n"/>
    </row>
    <row r="138">
      <c r="B138" s="132" t="n"/>
      <c r="C138" s="107" t="n"/>
      <c r="D138" s="107" t="n"/>
      <c r="E138" s="107" t="n"/>
      <c r="F138" s="107" t="n"/>
      <c r="G138" s="133" t="n"/>
      <c r="H138" s="115">
        <f>IF(N($G138)=0,"",IF($F138="Tarjeta Citi",CFG_CITI,0))</f>
        <v/>
      </c>
      <c r="I138" s="112">
        <f>IF(N($G138)=0,"",$G138*$H138)</f>
        <v/>
      </c>
      <c r="J138" s="114">
        <f>IF(N($G138)=0,"",$G138+$I138)</f>
        <v/>
      </c>
      <c r="K138" s="107" t="n"/>
    </row>
    <row r="139">
      <c r="B139" s="132" t="n"/>
      <c r="C139" s="107" t="n"/>
      <c r="D139" s="107" t="n"/>
      <c r="E139" s="107" t="n"/>
      <c r="F139" s="107" t="n"/>
      <c r="G139" s="133" t="n"/>
      <c r="H139" s="115">
        <f>IF(N($G139)=0,"",IF($F139="Tarjeta Citi",CFG_CITI,0))</f>
        <v/>
      </c>
      <c r="I139" s="112">
        <f>IF(N($G139)=0,"",$G139*$H139)</f>
        <v/>
      </c>
      <c r="J139" s="114">
        <f>IF(N($G139)=0,"",$G139+$I139)</f>
        <v/>
      </c>
      <c r="K139" s="107" t="n"/>
    </row>
    <row r="140">
      <c r="B140" s="132" t="n"/>
      <c r="C140" s="107" t="n"/>
      <c r="D140" s="107" t="n"/>
      <c r="E140" s="107" t="n"/>
      <c r="F140" s="107" t="n"/>
      <c r="G140" s="133" t="n"/>
      <c r="H140" s="115">
        <f>IF(N($G140)=0,"",IF($F140="Tarjeta Citi",CFG_CITI,0))</f>
        <v/>
      </c>
      <c r="I140" s="112">
        <f>IF(N($G140)=0,"",$G140*$H140)</f>
        <v/>
      </c>
      <c r="J140" s="114">
        <f>IF(N($G140)=0,"",$G140+$I140)</f>
        <v/>
      </c>
      <c r="K140" s="107" t="n"/>
    </row>
    <row r="141">
      <c r="B141" s="132" t="n"/>
      <c r="C141" s="107" t="n"/>
      <c r="D141" s="107" t="n"/>
      <c r="E141" s="107" t="n"/>
      <c r="F141" s="107" t="n"/>
      <c r="G141" s="133" t="n"/>
      <c r="H141" s="115">
        <f>IF(N($G141)=0,"",IF($F141="Tarjeta Citi",CFG_CITI,0))</f>
        <v/>
      </c>
      <c r="I141" s="112">
        <f>IF(N($G141)=0,"",$G141*$H141)</f>
        <v/>
      </c>
      <c r="J141" s="114">
        <f>IF(N($G141)=0,"",$G141+$I141)</f>
        <v/>
      </c>
      <c r="K141" s="107" t="n"/>
    </row>
    <row r="142">
      <c r="B142" s="132" t="n"/>
      <c r="C142" s="107" t="n"/>
      <c r="D142" s="107" t="n"/>
      <c r="E142" s="107" t="n"/>
      <c r="F142" s="107" t="n"/>
      <c r="G142" s="133" t="n"/>
      <c r="H142" s="115">
        <f>IF(N($G142)=0,"",IF($F142="Tarjeta Citi",CFG_CITI,0))</f>
        <v/>
      </c>
      <c r="I142" s="112">
        <f>IF(N($G142)=0,"",$G142*$H142)</f>
        <v/>
      </c>
      <c r="J142" s="114">
        <f>IF(N($G142)=0,"",$G142+$I142)</f>
        <v/>
      </c>
      <c r="K142" s="107" t="n"/>
    </row>
    <row r="143">
      <c r="B143" s="132" t="n"/>
      <c r="C143" s="107" t="n"/>
      <c r="D143" s="107" t="n"/>
      <c r="E143" s="107" t="n"/>
      <c r="F143" s="107" t="n"/>
      <c r="G143" s="133" t="n"/>
      <c r="H143" s="115">
        <f>IF(N($G143)=0,"",IF($F143="Tarjeta Citi",CFG_CITI,0))</f>
        <v/>
      </c>
      <c r="I143" s="112">
        <f>IF(N($G143)=0,"",$G143*$H143)</f>
        <v/>
      </c>
      <c r="J143" s="114">
        <f>IF(N($G143)=0,"",$G143+$I143)</f>
        <v/>
      </c>
      <c r="K143" s="107" t="n"/>
    </row>
    <row r="144">
      <c r="B144" s="132" t="n"/>
      <c r="C144" s="107" t="n"/>
      <c r="D144" s="107" t="n"/>
      <c r="E144" s="107" t="n"/>
      <c r="F144" s="107" t="n"/>
      <c r="G144" s="133" t="n"/>
      <c r="H144" s="115">
        <f>IF(N($G144)=0,"",IF($F144="Tarjeta Citi",CFG_CITI,0))</f>
        <v/>
      </c>
      <c r="I144" s="112">
        <f>IF(N($G144)=0,"",$G144*$H144)</f>
        <v/>
      </c>
      <c r="J144" s="114">
        <f>IF(N($G144)=0,"",$G144+$I144)</f>
        <v/>
      </c>
      <c r="K144" s="107" t="n"/>
    </row>
    <row r="145">
      <c r="B145" s="132" t="n"/>
      <c r="C145" s="107" t="n"/>
      <c r="D145" s="107" t="n"/>
      <c r="E145" s="107" t="n"/>
      <c r="F145" s="107" t="n"/>
      <c r="G145" s="133" t="n"/>
      <c r="H145" s="115">
        <f>IF(N($G145)=0,"",IF($F145="Tarjeta Citi",CFG_CITI,0))</f>
        <v/>
      </c>
      <c r="I145" s="112">
        <f>IF(N($G145)=0,"",$G145*$H145)</f>
        <v/>
      </c>
      <c r="J145" s="114">
        <f>IF(N($G145)=0,"",$G145+$I145)</f>
        <v/>
      </c>
      <c r="K145" s="107" t="n"/>
    </row>
    <row r="146">
      <c r="B146" s="132" t="n"/>
      <c r="C146" s="107" t="n"/>
      <c r="D146" s="107" t="n"/>
      <c r="E146" s="107" t="n"/>
      <c r="F146" s="107" t="n"/>
      <c r="G146" s="133" t="n"/>
      <c r="H146" s="115">
        <f>IF(N($G146)=0,"",IF($F146="Tarjeta Citi",CFG_CITI,0))</f>
        <v/>
      </c>
      <c r="I146" s="112">
        <f>IF(N($G146)=0,"",$G146*$H146)</f>
        <v/>
      </c>
      <c r="J146" s="114">
        <f>IF(N($G146)=0,"",$G146+$I146)</f>
        <v/>
      </c>
      <c r="K146" s="107" t="n"/>
    </row>
    <row r="147">
      <c r="B147" s="132" t="n"/>
      <c r="C147" s="107" t="n"/>
      <c r="D147" s="107" t="n"/>
      <c r="E147" s="107" t="n"/>
      <c r="F147" s="107" t="n"/>
      <c r="G147" s="133" t="n"/>
      <c r="H147" s="115">
        <f>IF(N($G147)=0,"",IF($F147="Tarjeta Citi",CFG_CITI,0))</f>
        <v/>
      </c>
      <c r="I147" s="112">
        <f>IF(N($G147)=0,"",$G147*$H147)</f>
        <v/>
      </c>
      <c r="J147" s="114">
        <f>IF(N($G147)=0,"",$G147+$I147)</f>
        <v/>
      </c>
      <c r="K147" s="107" t="n"/>
    </row>
    <row r="148">
      <c r="B148" s="132" t="n"/>
      <c r="C148" s="107" t="n"/>
      <c r="D148" s="107" t="n"/>
      <c r="E148" s="107" t="n"/>
      <c r="F148" s="107" t="n"/>
      <c r="G148" s="133" t="n"/>
      <c r="H148" s="115">
        <f>IF(N($G148)=0,"",IF($F148="Tarjeta Citi",CFG_CITI,0))</f>
        <v/>
      </c>
      <c r="I148" s="112">
        <f>IF(N($G148)=0,"",$G148*$H148)</f>
        <v/>
      </c>
      <c r="J148" s="114">
        <f>IF(N($G148)=0,"",$G148+$I148)</f>
        <v/>
      </c>
      <c r="K148" s="107" t="n"/>
    </row>
    <row r="149">
      <c r="B149" s="132" t="n"/>
      <c r="C149" s="107" t="n"/>
      <c r="D149" s="107" t="n"/>
      <c r="E149" s="107" t="n"/>
      <c r="F149" s="107" t="n"/>
      <c r="G149" s="133" t="n"/>
      <c r="H149" s="115">
        <f>IF(N($G149)=0,"",IF($F149="Tarjeta Citi",CFG_CITI,0))</f>
        <v/>
      </c>
      <c r="I149" s="112">
        <f>IF(N($G149)=0,"",$G149*$H149)</f>
        <v/>
      </c>
      <c r="J149" s="114">
        <f>IF(N($G149)=0,"",$G149+$I149)</f>
        <v/>
      </c>
      <c r="K149" s="107" t="n"/>
    </row>
    <row r="150">
      <c r="B150" s="132" t="n"/>
      <c r="C150" s="107" t="n"/>
      <c r="D150" s="107" t="n"/>
      <c r="E150" s="107" t="n"/>
      <c r="F150" s="107" t="n"/>
      <c r="G150" s="133" t="n"/>
      <c r="H150" s="115">
        <f>IF(N($G150)=0,"",IF($F150="Tarjeta Citi",CFG_CITI,0))</f>
        <v/>
      </c>
      <c r="I150" s="112">
        <f>IF(N($G150)=0,"",$G150*$H150)</f>
        <v/>
      </c>
      <c r="J150" s="114">
        <f>IF(N($G150)=0,"",$G150+$I150)</f>
        <v/>
      </c>
      <c r="K150" s="107" t="n"/>
    </row>
    <row r="151">
      <c r="B151" s="132" t="n"/>
      <c r="C151" s="107" t="n"/>
      <c r="D151" s="107" t="n"/>
      <c r="E151" s="107" t="n"/>
      <c r="F151" s="107" t="n"/>
      <c r="G151" s="133" t="n"/>
      <c r="H151" s="115">
        <f>IF(N($G151)=0,"",IF($F151="Tarjeta Citi",CFG_CITI,0))</f>
        <v/>
      </c>
      <c r="I151" s="112">
        <f>IF(N($G151)=0,"",$G151*$H151)</f>
        <v/>
      </c>
      <c r="J151" s="114">
        <f>IF(N($G151)=0,"",$G151+$I151)</f>
        <v/>
      </c>
      <c r="K151" s="107" t="n"/>
    </row>
    <row r="152">
      <c r="B152" s="132" t="n"/>
      <c r="C152" s="107" t="n"/>
      <c r="D152" s="107" t="n"/>
      <c r="E152" s="107" t="n"/>
      <c r="F152" s="107" t="n"/>
      <c r="G152" s="133" t="n"/>
      <c r="H152" s="115">
        <f>IF(N($G152)=0,"",IF($F152="Tarjeta Citi",CFG_CITI,0))</f>
        <v/>
      </c>
      <c r="I152" s="112">
        <f>IF(N($G152)=0,"",$G152*$H152)</f>
        <v/>
      </c>
      <c r="J152" s="114">
        <f>IF(N($G152)=0,"",$G152+$I152)</f>
        <v/>
      </c>
      <c r="K152" s="107" t="n"/>
    </row>
    <row r="153">
      <c r="B153" s="132" t="n"/>
      <c r="C153" s="107" t="n"/>
      <c r="D153" s="107" t="n"/>
      <c r="E153" s="107" t="n"/>
      <c r="F153" s="107" t="n"/>
      <c r="G153" s="133" t="n"/>
      <c r="H153" s="115">
        <f>IF(N($G153)=0,"",IF($F153="Tarjeta Citi",CFG_CITI,0))</f>
        <v/>
      </c>
      <c r="I153" s="112">
        <f>IF(N($G153)=0,"",$G153*$H153)</f>
        <v/>
      </c>
      <c r="J153" s="114">
        <f>IF(N($G153)=0,"",$G153+$I153)</f>
        <v/>
      </c>
      <c r="K153" s="107" t="n"/>
    </row>
    <row r="154">
      <c r="B154" s="132" t="n"/>
      <c r="C154" s="107" t="n"/>
      <c r="D154" s="107" t="n"/>
      <c r="E154" s="107" t="n"/>
      <c r="F154" s="107" t="n"/>
      <c r="G154" s="133" t="n"/>
      <c r="H154" s="115">
        <f>IF(N($G154)=0,"",IF($F154="Tarjeta Citi",CFG_CITI,0))</f>
        <v/>
      </c>
      <c r="I154" s="112">
        <f>IF(N($G154)=0,"",$G154*$H154)</f>
        <v/>
      </c>
      <c r="J154" s="114">
        <f>IF(N($G154)=0,"",$G154+$I154)</f>
        <v/>
      </c>
      <c r="K154" s="107" t="n"/>
    </row>
    <row r="155">
      <c r="B155" s="132" t="n"/>
      <c r="C155" s="107" t="n"/>
      <c r="D155" s="107" t="n"/>
      <c r="E155" s="107" t="n"/>
      <c r="F155" s="107" t="n"/>
      <c r="G155" s="133" t="n"/>
      <c r="H155" s="115">
        <f>IF(N($G155)=0,"",IF($F155="Tarjeta Citi",CFG_CITI,0))</f>
        <v/>
      </c>
      <c r="I155" s="112">
        <f>IF(N($G155)=0,"",$G155*$H155)</f>
        <v/>
      </c>
      <c r="J155" s="114">
        <f>IF(N($G155)=0,"",$G155+$I155)</f>
        <v/>
      </c>
      <c r="K155" s="107" t="n"/>
    </row>
    <row r="156">
      <c r="B156" s="132" t="n"/>
      <c r="C156" s="107" t="n"/>
      <c r="D156" s="107" t="n"/>
      <c r="E156" s="107" t="n"/>
      <c r="F156" s="107" t="n"/>
      <c r="G156" s="133" t="n"/>
      <c r="H156" s="115">
        <f>IF(N($G156)=0,"",IF($F156="Tarjeta Citi",CFG_CITI,0))</f>
        <v/>
      </c>
      <c r="I156" s="112">
        <f>IF(N($G156)=0,"",$G156*$H156)</f>
        <v/>
      </c>
      <c r="J156" s="114">
        <f>IF(N($G156)=0,"",$G156+$I156)</f>
        <v/>
      </c>
      <c r="K156" s="107" t="n"/>
    </row>
    <row r="157">
      <c r="B157" s="132" t="n"/>
      <c r="C157" s="107" t="n"/>
      <c r="D157" s="107" t="n"/>
      <c r="E157" s="107" t="n"/>
      <c r="F157" s="107" t="n"/>
      <c r="G157" s="133" t="n"/>
      <c r="H157" s="115">
        <f>IF(N($G157)=0,"",IF($F157="Tarjeta Citi",CFG_CITI,0))</f>
        <v/>
      </c>
      <c r="I157" s="112">
        <f>IF(N($G157)=0,"",$G157*$H157)</f>
        <v/>
      </c>
      <c r="J157" s="114">
        <f>IF(N($G157)=0,"",$G157+$I157)</f>
        <v/>
      </c>
      <c r="K157" s="107" t="n"/>
    </row>
    <row r="158">
      <c r="B158" s="132" t="n"/>
      <c r="C158" s="107" t="n"/>
      <c r="D158" s="107" t="n"/>
      <c r="E158" s="107" t="n"/>
      <c r="F158" s="107" t="n"/>
      <c r="G158" s="133" t="n"/>
      <c r="H158" s="115">
        <f>IF(N($G158)=0,"",IF($F158="Tarjeta Citi",CFG_CITI,0))</f>
        <v/>
      </c>
      <c r="I158" s="112">
        <f>IF(N($G158)=0,"",$G158*$H158)</f>
        <v/>
      </c>
      <c r="J158" s="114">
        <f>IF(N($G158)=0,"",$G158+$I158)</f>
        <v/>
      </c>
      <c r="K158" s="107" t="n"/>
    </row>
    <row r="159">
      <c r="B159" s="132" t="n"/>
      <c r="C159" s="107" t="n"/>
      <c r="D159" s="107" t="n"/>
      <c r="E159" s="107" t="n"/>
      <c r="F159" s="107" t="n"/>
      <c r="G159" s="133" t="n"/>
      <c r="H159" s="115">
        <f>IF(N($G159)=0,"",IF($F159="Tarjeta Citi",CFG_CITI,0))</f>
        <v/>
      </c>
      <c r="I159" s="112">
        <f>IF(N($G159)=0,"",$G159*$H159)</f>
        <v/>
      </c>
      <c r="J159" s="114">
        <f>IF(N($G159)=0,"",$G159+$I159)</f>
        <v/>
      </c>
      <c r="K159" s="107" t="n"/>
    </row>
    <row r="160">
      <c r="B160" s="132" t="n"/>
      <c r="C160" s="107" t="n"/>
      <c r="D160" s="107" t="n"/>
      <c r="E160" s="107" t="n"/>
      <c r="F160" s="107" t="n"/>
      <c r="G160" s="133" t="n"/>
      <c r="H160" s="115">
        <f>IF(N($G160)=0,"",IF($F160="Tarjeta Citi",CFG_CITI,0))</f>
        <v/>
      </c>
      <c r="I160" s="112">
        <f>IF(N($G160)=0,"",$G160*$H160)</f>
        <v/>
      </c>
      <c r="J160" s="114">
        <f>IF(N($G160)=0,"",$G160+$I160)</f>
        <v/>
      </c>
      <c r="K160" s="107" t="n"/>
    </row>
    <row r="161">
      <c r="B161" s="132" t="n"/>
      <c r="C161" s="107" t="n"/>
      <c r="D161" s="107" t="n"/>
      <c r="E161" s="107" t="n"/>
      <c r="F161" s="107" t="n"/>
      <c r="G161" s="133" t="n"/>
      <c r="H161" s="115">
        <f>IF(N($G161)=0,"",IF($F161="Tarjeta Citi",CFG_CITI,0))</f>
        <v/>
      </c>
      <c r="I161" s="112">
        <f>IF(N($G161)=0,"",$G161*$H161)</f>
        <v/>
      </c>
      <c r="J161" s="114">
        <f>IF(N($G161)=0,"",$G161+$I161)</f>
        <v/>
      </c>
      <c r="K161" s="107" t="n"/>
    </row>
    <row r="162">
      <c r="B162" s="132" t="n"/>
      <c r="C162" s="107" t="n"/>
      <c r="D162" s="107" t="n"/>
      <c r="E162" s="107" t="n"/>
      <c r="F162" s="107" t="n"/>
      <c r="G162" s="133" t="n"/>
      <c r="H162" s="115">
        <f>IF(N($G162)=0,"",IF($F162="Tarjeta Citi",CFG_CITI,0))</f>
        <v/>
      </c>
      <c r="I162" s="112">
        <f>IF(N($G162)=0,"",$G162*$H162)</f>
        <v/>
      </c>
      <c r="J162" s="114">
        <f>IF(N($G162)=0,"",$G162+$I162)</f>
        <v/>
      </c>
      <c r="K162" s="107" t="n"/>
    </row>
    <row r="163">
      <c r="B163" s="132" t="n"/>
      <c r="C163" s="107" t="n"/>
      <c r="D163" s="107" t="n"/>
      <c r="E163" s="107" t="n"/>
      <c r="F163" s="107" t="n"/>
      <c r="G163" s="133" t="n"/>
      <c r="H163" s="115">
        <f>IF(N($G163)=0,"",IF($F163="Tarjeta Citi",CFG_CITI,0))</f>
        <v/>
      </c>
      <c r="I163" s="112">
        <f>IF(N($G163)=0,"",$G163*$H163)</f>
        <v/>
      </c>
      <c r="J163" s="114">
        <f>IF(N($G163)=0,"",$G163+$I163)</f>
        <v/>
      </c>
      <c r="K163" s="107" t="n"/>
    </row>
    <row r="164">
      <c r="B164" s="132" t="n"/>
      <c r="C164" s="107" t="n"/>
      <c r="D164" s="107" t="n"/>
      <c r="E164" s="107" t="n"/>
      <c r="F164" s="107" t="n"/>
      <c r="G164" s="133" t="n"/>
      <c r="H164" s="115">
        <f>IF(N($G164)=0,"",IF($F164="Tarjeta Citi",CFG_CITI,0))</f>
        <v/>
      </c>
      <c r="I164" s="112">
        <f>IF(N($G164)=0,"",$G164*$H164)</f>
        <v/>
      </c>
      <c r="J164" s="114">
        <f>IF(N($G164)=0,"",$G164+$I164)</f>
        <v/>
      </c>
      <c r="K164" s="107" t="n"/>
    </row>
    <row r="165">
      <c r="B165" s="132" t="n"/>
      <c r="C165" s="107" t="n"/>
      <c r="D165" s="107" t="n"/>
      <c r="E165" s="107" t="n"/>
      <c r="F165" s="107" t="n"/>
      <c r="G165" s="133" t="n"/>
      <c r="H165" s="115">
        <f>IF(N($G165)=0,"",IF($F165="Tarjeta Citi",CFG_CITI,0))</f>
        <v/>
      </c>
      <c r="I165" s="112">
        <f>IF(N($G165)=0,"",$G165*$H165)</f>
        <v/>
      </c>
      <c r="J165" s="114">
        <f>IF(N($G165)=0,"",$G165+$I165)</f>
        <v/>
      </c>
      <c r="K165" s="107" t="n"/>
    </row>
    <row r="166">
      <c r="B166" s="132" t="n"/>
      <c r="C166" s="107" t="n"/>
      <c r="D166" s="107" t="n"/>
      <c r="E166" s="107" t="n"/>
      <c r="F166" s="107" t="n"/>
      <c r="G166" s="133" t="n"/>
      <c r="H166" s="115">
        <f>IF(N($G166)=0,"",IF($F166="Tarjeta Citi",CFG_CITI,0))</f>
        <v/>
      </c>
      <c r="I166" s="112">
        <f>IF(N($G166)=0,"",$G166*$H166)</f>
        <v/>
      </c>
      <c r="J166" s="114">
        <f>IF(N($G166)=0,"",$G166+$I166)</f>
        <v/>
      </c>
      <c r="K166" s="107" t="n"/>
    </row>
    <row r="167">
      <c r="B167" s="132" t="n"/>
      <c r="C167" s="107" t="n"/>
      <c r="D167" s="107" t="n"/>
      <c r="E167" s="107" t="n"/>
      <c r="F167" s="107" t="n"/>
      <c r="G167" s="133" t="n"/>
      <c r="H167" s="115">
        <f>IF(N($G167)=0,"",IF($F167="Tarjeta Citi",CFG_CITI,0))</f>
        <v/>
      </c>
      <c r="I167" s="112">
        <f>IF(N($G167)=0,"",$G167*$H167)</f>
        <v/>
      </c>
      <c r="J167" s="114">
        <f>IF(N($G167)=0,"",$G167+$I167)</f>
        <v/>
      </c>
      <c r="K167" s="107" t="n"/>
    </row>
    <row r="168">
      <c r="B168" s="132" t="n"/>
      <c r="C168" s="107" t="n"/>
      <c r="D168" s="107" t="n"/>
      <c r="E168" s="107" t="n"/>
      <c r="F168" s="107" t="n"/>
      <c r="G168" s="133" t="n"/>
      <c r="H168" s="115">
        <f>IF(N($G168)=0,"",IF($F168="Tarjeta Citi",CFG_CITI,0))</f>
        <v/>
      </c>
      <c r="I168" s="112">
        <f>IF(N($G168)=0,"",$G168*$H168)</f>
        <v/>
      </c>
      <c r="J168" s="114">
        <f>IF(N($G168)=0,"",$G168+$I168)</f>
        <v/>
      </c>
      <c r="K168" s="107" t="n"/>
    </row>
    <row r="169">
      <c r="B169" s="132" t="n"/>
      <c r="C169" s="107" t="n"/>
      <c r="D169" s="107" t="n"/>
      <c r="E169" s="107" t="n"/>
      <c r="F169" s="107" t="n"/>
      <c r="G169" s="133" t="n"/>
      <c r="H169" s="115">
        <f>IF(N($G169)=0,"",IF($F169="Tarjeta Citi",CFG_CITI,0))</f>
        <v/>
      </c>
      <c r="I169" s="112">
        <f>IF(N($G169)=0,"",$G169*$H169)</f>
        <v/>
      </c>
      <c r="J169" s="114">
        <f>IF(N($G169)=0,"",$G169+$I169)</f>
        <v/>
      </c>
      <c r="K169" s="107" t="n"/>
    </row>
    <row r="170">
      <c r="B170" s="132" t="n"/>
      <c r="C170" s="107" t="n"/>
      <c r="D170" s="107" t="n"/>
      <c r="E170" s="107" t="n"/>
      <c r="F170" s="107" t="n"/>
      <c r="G170" s="133" t="n"/>
      <c r="H170" s="115">
        <f>IF(N($G170)=0,"",IF($F170="Tarjeta Citi",CFG_CITI,0))</f>
        <v/>
      </c>
      <c r="I170" s="112">
        <f>IF(N($G170)=0,"",$G170*$H170)</f>
        <v/>
      </c>
      <c r="J170" s="114">
        <f>IF(N($G170)=0,"",$G170+$I170)</f>
        <v/>
      </c>
      <c r="K170" s="107" t="n"/>
    </row>
    <row r="171">
      <c r="B171" s="132" t="n"/>
      <c r="C171" s="107" t="n"/>
      <c r="D171" s="107" t="n"/>
      <c r="E171" s="107" t="n"/>
      <c r="F171" s="107" t="n"/>
      <c r="G171" s="133" t="n"/>
      <c r="H171" s="115">
        <f>IF(N($G171)=0,"",IF($F171="Tarjeta Citi",CFG_CITI,0))</f>
        <v/>
      </c>
      <c r="I171" s="112">
        <f>IF(N($G171)=0,"",$G171*$H171)</f>
        <v/>
      </c>
      <c r="J171" s="114">
        <f>IF(N($G171)=0,"",$G171+$I171)</f>
        <v/>
      </c>
      <c r="K171" s="107" t="n"/>
    </row>
    <row r="172">
      <c r="B172" s="132" t="n"/>
      <c r="C172" s="107" t="n"/>
      <c r="D172" s="107" t="n"/>
      <c r="E172" s="107" t="n"/>
      <c r="F172" s="107" t="n"/>
      <c r="G172" s="133" t="n"/>
      <c r="H172" s="115">
        <f>IF(N($G172)=0,"",IF($F172="Tarjeta Citi",CFG_CITI,0))</f>
        <v/>
      </c>
      <c r="I172" s="112">
        <f>IF(N($G172)=0,"",$G172*$H172)</f>
        <v/>
      </c>
      <c r="J172" s="114">
        <f>IF(N($G172)=0,"",$G172+$I172)</f>
        <v/>
      </c>
      <c r="K172" s="107" t="n"/>
    </row>
    <row r="173">
      <c r="B173" s="132" t="n"/>
      <c r="C173" s="107" t="n"/>
      <c r="D173" s="107" t="n"/>
      <c r="E173" s="107" t="n"/>
      <c r="F173" s="107" t="n"/>
      <c r="G173" s="133" t="n"/>
      <c r="H173" s="115">
        <f>IF(N($G173)=0,"",IF($F173="Tarjeta Citi",CFG_CITI,0))</f>
        <v/>
      </c>
      <c r="I173" s="112">
        <f>IF(N($G173)=0,"",$G173*$H173)</f>
        <v/>
      </c>
      <c r="J173" s="114">
        <f>IF(N($G173)=0,"",$G173+$I173)</f>
        <v/>
      </c>
      <c r="K173" s="107" t="n"/>
    </row>
    <row r="174">
      <c r="B174" s="132" t="n"/>
      <c r="C174" s="107" t="n"/>
      <c r="D174" s="107" t="n"/>
      <c r="E174" s="107" t="n"/>
      <c r="F174" s="107" t="n"/>
      <c r="G174" s="133" t="n"/>
      <c r="H174" s="115">
        <f>IF(N($G174)=0,"",IF($F174="Tarjeta Citi",CFG_CITI,0))</f>
        <v/>
      </c>
      <c r="I174" s="112">
        <f>IF(N($G174)=0,"",$G174*$H174)</f>
        <v/>
      </c>
      <c r="J174" s="114">
        <f>IF(N($G174)=0,"",$G174+$I174)</f>
        <v/>
      </c>
      <c r="K174" s="107" t="n"/>
    </row>
    <row r="175">
      <c r="B175" s="132" t="n"/>
      <c r="C175" s="107" t="n"/>
      <c r="D175" s="107" t="n"/>
      <c r="E175" s="107" t="n"/>
      <c r="F175" s="107" t="n"/>
      <c r="G175" s="133" t="n"/>
      <c r="H175" s="115">
        <f>IF(N($G175)=0,"",IF($F175="Tarjeta Citi",CFG_CITI,0))</f>
        <v/>
      </c>
      <c r="I175" s="112">
        <f>IF(N($G175)=0,"",$G175*$H175)</f>
        <v/>
      </c>
      <c r="J175" s="114">
        <f>IF(N($G175)=0,"",$G175+$I175)</f>
        <v/>
      </c>
      <c r="K175" s="107" t="n"/>
    </row>
    <row r="176">
      <c r="B176" s="132" t="n"/>
      <c r="C176" s="107" t="n"/>
      <c r="D176" s="107" t="n"/>
      <c r="E176" s="107" t="n"/>
      <c r="F176" s="107" t="n"/>
      <c r="G176" s="133" t="n"/>
      <c r="H176" s="115">
        <f>IF(N($G176)=0,"",IF($F176="Tarjeta Citi",CFG_CITI,0))</f>
        <v/>
      </c>
      <c r="I176" s="112">
        <f>IF(N($G176)=0,"",$G176*$H176)</f>
        <v/>
      </c>
      <c r="J176" s="114">
        <f>IF(N($G176)=0,"",$G176+$I176)</f>
        <v/>
      </c>
      <c r="K176" s="107" t="n"/>
    </row>
    <row r="177">
      <c r="B177" s="132" t="n"/>
      <c r="C177" s="107" t="n"/>
      <c r="D177" s="107" t="n"/>
      <c r="E177" s="107" t="n"/>
      <c r="F177" s="107" t="n"/>
      <c r="G177" s="133" t="n"/>
      <c r="H177" s="115">
        <f>IF(N($G177)=0,"",IF($F177="Tarjeta Citi",CFG_CITI,0))</f>
        <v/>
      </c>
      <c r="I177" s="112">
        <f>IF(N($G177)=0,"",$G177*$H177)</f>
        <v/>
      </c>
      <c r="J177" s="114">
        <f>IF(N($G177)=0,"",$G177+$I177)</f>
        <v/>
      </c>
      <c r="K177" s="107" t="n"/>
    </row>
    <row r="178">
      <c r="B178" s="132" t="n"/>
      <c r="C178" s="107" t="n"/>
      <c r="D178" s="107" t="n"/>
      <c r="E178" s="107" t="n"/>
      <c r="F178" s="107" t="n"/>
      <c r="G178" s="133" t="n"/>
      <c r="H178" s="115">
        <f>IF(N($G178)=0,"",IF($F178="Tarjeta Citi",CFG_CITI,0))</f>
        <v/>
      </c>
      <c r="I178" s="112">
        <f>IF(N($G178)=0,"",$G178*$H178)</f>
        <v/>
      </c>
      <c r="J178" s="114">
        <f>IF(N($G178)=0,"",$G178+$I178)</f>
        <v/>
      </c>
      <c r="K178" s="107" t="n"/>
    </row>
    <row r="179">
      <c r="B179" s="132" t="n"/>
      <c r="C179" s="107" t="n"/>
      <c r="D179" s="107" t="n"/>
      <c r="E179" s="107" t="n"/>
      <c r="F179" s="107" t="n"/>
      <c r="G179" s="133" t="n"/>
      <c r="H179" s="115">
        <f>IF(N($G179)=0,"",IF($F179="Tarjeta Citi",CFG_CITI,0))</f>
        <v/>
      </c>
      <c r="I179" s="112">
        <f>IF(N($G179)=0,"",$G179*$H179)</f>
        <v/>
      </c>
      <c r="J179" s="114">
        <f>IF(N($G179)=0,"",$G179+$I179)</f>
        <v/>
      </c>
      <c r="K179" s="107" t="n"/>
    </row>
    <row r="180">
      <c r="B180" s="132" t="n"/>
      <c r="C180" s="107" t="n"/>
      <c r="D180" s="107" t="n"/>
      <c r="E180" s="107" t="n"/>
      <c r="F180" s="107" t="n"/>
      <c r="G180" s="133" t="n"/>
      <c r="H180" s="115">
        <f>IF(N($G180)=0,"",IF($F180="Tarjeta Citi",CFG_CITI,0))</f>
        <v/>
      </c>
      <c r="I180" s="112">
        <f>IF(N($G180)=0,"",$G180*$H180)</f>
        <v/>
      </c>
      <c r="J180" s="114">
        <f>IF(N($G180)=0,"",$G180+$I180)</f>
        <v/>
      </c>
      <c r="K180" s="107" t="n"/>
    </row>
    <row r="181">
      <c r="B181" s="132" t="n"/>
      <c r="C181" s="107" t="n"/>
      <c r="D181" s="107" t="n"/>
      <c r="E181" s="107" t="n"/>
      <c r="F181" s="107" t="n"/>
      <c r="G181" s="133" t="n"/>
      <c r="H181" s="115">
        <f>IF(N($G181)=0,"",IF($F181="Tarjeta Citi",CFG_CITI,0))</f>
        <v/>
      </c>
      <c r="I181" s="112">
        <f>IF(N($G181)=0,"",$G181*$H181)</f>
        <v/>
      </c>
      <c r="J181" s="114">
        <f>IF(N($G181)=0,"",$G181+$I181)</f>
        <v/>
      </c>
      <c r="K181" s="107" t="n"/>
    </row>
    <row r="182">
      <c r="B182" s="132" t="n"/>
      <c r="C182" s="107" t="n"/>
      <c r="D182" s="107" t="n"/>
      <c r="E182" s="107" t="n"/>
      <c r="F182" s="107" t="n"/>
      <c r="G182" s="133" t="n"/>
      <c r="H182" s="115">
        <f>IF(N($G182)=0,"",IF($F182="Tarjeta Citi",CFG_CITI,0))</f>
        <v/>
      </c>
      <c r="I182" s="112">
        <f>IF(N($G182)=0,"",$G182*$H182)</f>
        <v/>
      </c>
      <c r="J182" s="114">
        <f>IF(N($G182)=0,"",$G182+$I182)</f>
        <v/>
      </c>
      <c r="K182" s="107" t="n"/>
    </row>
    <row r="183">
      <c r="B183" s="132" t="n"/>
      <c r="C183" s="107" t="n"/>
      <c r="D183" s="107" t="n"/>
      <c r="E183" s="107" t="n"/>
      <c r="F183" s="107" t="n"/>
      <c r="G183" s="133" t="n"/>
      <c r="H183" s="115">
        <f>IF(N($G183)=0,"",IF($F183="Tarjeta Citi",CFG_CITI,0))</f>
        <v/>
      </c>
      <c r="I183" s="112">
        <f>IF(N($G183)=0,"",$G183*$H183)</f>
        <v/>
      </c>
      <c r="J183" s="114">
        <f>IF(N($G183)=0,"",$G183+$I183)</f>
        <v/>
      </c>
      <c r="K183" s="107" t="n"/>
    </row>
    <row r="184">
      <c r="B184" s="132" t="n"/>
      <c r="C184" s="107" t="n"/>
      <c r="D184" s="107" t="n"/>
      <c r="E184" s="107" t="n"/>
      <c r="F184" s="107" t="n"/>
      <c r="G184" s="133" t="n"/>
      <c r="H184" s="115">
        <f>IF(N($G184)=0,"",IF($F184="Tarjeta Citi",CFG_CITI,0))</f>
        <v/>
      </c>
      <c r="I184" s="112">
        <f>IF(N($G184)=0,"",$G184*$H184)</f>
        <v/>
      </c>
      <c r="J184" s="114">
        <f>IF(N($G184)=0,"",$G184+$I184)</f>
        <v/>
      </c>
      <c r="K184" s="107" t="n"/>
    </row>
    <row r="185">
      <c r="B185" s="132" t="n"/>
      <c r="C185" s="107" t="n"/>
      <c r="D185" s="107" t="n"/>
      <c r="E185" s="107" t="n"/>
      <c r="F185" s="107" t="n"/>
      <c r="G185" s="133" t="n"/>
      <c r="H185" s="115">
        <f>IF(N($G185)=0,"",IF($F185="Tarjeta Citi",CFG_CITI,0))</f>
        <v/>
      </c>
      <c r="I185" s="112">
        <f>IF(N($G185)=0,"",$G185*$H185)</f>
        <v/>
      </c>
      <c r="J185" s="114">
        <f>IF(N($G185)=0,"",$G185+$I185)</f>
        <v/>
      </c>
      <c r="K185" s="107" t="n"/>
    </row>
    <row r="186">
      <c r="B186" s="132" t="n"/>
      <c r="C186" s="107" t="n"/>
      <c r="D186" s="107" t="n"/>
      <c r="E186" s="107" t="n"/>
      <c r="F186" s="107" t="n"/>
      <c r="G186" s="133" t="n"/>
      <c r="H186" s="115">
        <f>IF(N($G186)=0,"",IF($F186="Tarjeta Citi",CFG_CITI,0))</f>
        <v/>
      </c>
      <c r="I186" s="112">
        <f>IF(N($G186)=0,"",$G186*$H186)</f>
        <v/>
      </c>
      <c r="J186" s="114">
        <f>IF(N($G186)=0,"",$G186+$I186)</f>
        <v/>
      </c>
      <c r="K186" s="107" t="n"/>
    </row>
    <row r="187">
      <c r="B187" s="132" t="n"/>
      <c r="C187" s="107" t="n"/>
      <c r="D187" s="107" t="n"/>
      <c r="E187" s="107" t="n"/>
      <c r="F187" s="107" t="n"/>
      <c r="G187" s="133" t="n"/>
      <c r="H187" s="115">
        <f>IF(N($G187)=0,"",IF($F187="Tarjeta Citi",CFG_CITI,0))</f>
        <v/>
      </c>
      <c r="I187" s="112">
        <f>IF(N($G187)=0,"",$G187*$H187)</f>
        <v/>
      </c>
      <c r="J187" s="114">
        <f>IF(N($G187)=0,"",$G187+$I187)</f>
        <v/>
      </c>
      <c r="K187" s="107" t="n"/>
    </row>
    <row r="188">
      <c r="B188" s="132" t="n"/>
      <c r="C188" s="107" t="n"/>
      <c r="D188" s="107" t="n"/>
      <c r="E188" s="107" t="n"/>
      <c r="F188" s="107" t="n"/>
      <c r="G188" s="133" t="n"/>
      <c r="H188" s="115">
        <f>IF(N($G188)=0,"",IF($F188="Tarjeta Citi",CFG_CITI,0))</f>
        <v/>
      </c>
      <c r="I188" s="112">
        <f>IF(N($G188)=0,"",$G188*$H188)</f>
        <v/>
      </c>
      <c r="J188" s="114">
        <f>IF(N($G188)=0,"",$G188+$I188)</f>
        <v/>
      </c>
      <c r="K188" s="107" t="n"/>
    </row>
    <row r="189">
      <c r="B189" s="132" t="n"/>
      <c r="C189" s="107" t="n"/>
      <c r="D189" s="107" t="n"/>
      <c r="E189" s="107" t="n"/>
      <c r="F189" s="107" t="n"/>
      <c r="G189" s="133" t="n"/>
      <c r="H189" s="115">
        <f>IF(N($G189)=0,"",IF($F189="Tarjeta Citi",CFG_CITI,0))</f>
        <v/>
      </c>
      <c r="I189" s="112">
        <f>IF(N($G189)=0,"",$G189*$H189)</f>
        <v/>
      </c>
      <c r="J189" s="114">
        <f>IF(N($G189)=0,"",$G189+$I189)</f>
        <v/>
      </c>
      <c r="K189" s="107" t="n"/>
    </row>
    <row r="190">
      <c r="B190" s="132" t="n"/>
      <c r="C190" s="107" t="n"/>
      <c r="D190" s="107" t="n"/>
      <c r="E190" s="107" t="n"/>
      <c r="F190" s="107" t="n"/>
      <c r="G190" s="133" t="n"/>
      <c r="H190" s="115">
        <f>IF(N($G190)=0,"",IF($F190="Tarjeta Citi",CFG_CITI,0))</f>
        <v/>
      </c>
      <c r="I190" s="112">
        <f>IF(N($G190)=0,"",$G190*$H190)</f>
        <v/>
      </c>
      <c r="J190" s="114">
        <f>IF(N($G190)=0,"",$G190+$I190)</f>
        <v/>
      </c>
      <c r="K190" s="107" t="n"/>
    </row>
    <row r="191">
      <c r="B191" s="132" t="n"/>
      <c r="C191" s="107" t="n"/>
      <c r="D191" s="107" t="n"/>
      <c r="E191" s="107" t="n"/>
      <c r="F191" s="107" t="n"/>
      <c r="G191" s="133" t="n"/>
      <c r="H191" s="115">
        <f>IF(N($G191)=0,"",IF($F191="Tarjeta Citi",CFG_CITI,0))</f>
        <v/>
      </c>
      <c r="I191" s="112">
        <f>IF(N($G191)=0,"",$G191*$H191)</f>
        <v/>
      </c>
      <c r="J191" s="114">
        <f>IF(N($G191)=0,"",$G191+$I191)</f>
        <v/>
      </c>
      <c r="K191" s="107" t="n"/>
    </row>
    <row r="192">
      <c r="B192" s="132" t="n"/>
      <c r="C192" s="107" t="n"/>
      <c r="D192" s="107" t="n"/>
      <c r="E192" s="107" t="n"/>
      <c r="F192" s="107" t="n"/>
      <c r="G192" s="133" t="n"/>
      <c r="H192" s="115">
        <f>IF(N($G192)=0,"",IF($F192="Tarjeta Citi",CFG_CITI,0))</f>
        <v/>
      </c>
      <c r="I192" s="112">
        <f>IF(N($G192)=0,"",$G192*$H192)</f>
        <v/>
      </c>
      <c r="J192" s="114">
        <f>IF(N($G192)=0,"",$G192+$I192)</f>
        <v/>
      </c>
      <c r="K192" s="107" t="n"/>
    </row>
    <row r="193">
      <c r="B193" s="132" t="n"/>
      <c r="C193" s="107" t="n"/>
      <c r="D193" s="107" t="n"/>
      <c r="E193" s="107" t="n"/>
      <c r="F193" s="107" t="n"/>
      <c r="G193" s="133" t="n"/>
      <c r="H193" s="115">
        <f>IF(N($G193)=0,"",IF($F193="Tarjeta Citi",CFG_CITI,0))</f>
        <v/>
      </c>
      <c r="I193" s="112">
        <f>IF(N($G193)=0,"",$G193*$H193)</f>
        <v/>
      </c>
      <c r="J193" s="114">
        <f>IF(N($G193)=0,"",$G193+$I193)</f>
        <v/>
      </c>
      <c r="K193" s="107" t="n"/>
    </row>
    <row r="194">
      <c r="B194" s="132" t="n"/>
      <c r="C194" s="107" t="n"/>
      <c r="D194" s="107" t="n"/>
      <c r="E194" s="107" t="n"/>
      <c r="F194" s="107" t="n"/>
      <c r="G194" s="133" t="n"/>
      <c r="H194" s="115">
        <f>IF(N($G194)=0,"",IF($F194="Tarjeta Citi",CFG_CITI,0))</f>
        <v/>
      </c>
      <c r="I194" s="112">
        <f>IF(N($G194)=0,"",$G194*$H194)</f>
        <v/>
      </c>
      <c r="J194" s="114">
        <f>IF(N($G194)=0,"",$G194+$I194)</f>
        <v/>
      </c>
      <c r="K194" s="107" t="n"/>
    </row>
    <row r="195">
      <c r="B195" s="132" t="n"/>
      <c r="C195" s="107" t="n"/>
      <c r="D195" s="107" t="n"/>
      <c r="E195" s="107" t="n"/>
      <c r="F195" s="107" t="n"/>
      <c r="G195" s="133" t="n"/>
      <c r="H195" s="115">
        <f>IF(N($G195)=0,"",IF($F195="Tarjeta Citi",CFG_CITI,0))</f>
        <v/>
      </c>
      <c r="I195" s="112">
        <f>IF(N($G195)=0,"",$G195*$H195)</f>
        <v/>
      </c>
      <c r="J195" s="114">
        <f>IF(N($G195)=0,"",$G195+$I195)</f>
        <v/>
      </c>
      <c r="K195" s="107" t="n"/>
    </row>
    <row r="196">
      <c r="B196" s="132" t="n"/>
      <c r="C196" s="107" t="n"/>
      <c r="D196" s="107" t="n"/>
      <c r="E196" s="107" t="n"/>
      <c r="F196" s="107" t="n"/>
      <c r="G196" s="133" t="n"/>
      <c r="H196" s="115">
        <f>IF(N($G196)=0,"",IF($F196="Tarjeta Citi",CFG_CITI,0))</f>
        <v/>
      </c>
      <c r="I196" s="112">
        <f>IF(N($G196)=0,"",$G196*$H196)</f>
        <v/>
      </c>
      <c r="J196" s="114">
        <f>IF(N($G196)=0,"",$G196+$I196)</f>
        <v/>
      </c>
      <c r="K196" s="107" t="n"/>
    </row>
    <row r="197">
      <c r="B197" s="132" t="n"/>
      <c r="C197" s="107" t="n"/>
      <c r="D197" s="107" t="n"/>
      <c r="E197" s="107" t="n"/>
      <c r="F197" s="107" t="n"/>
      <c r="G197" s="133" t="n"/>
      <c r="H197" s="115">
        <f>IF(N($G197)=0,"",IF($F197="Tarjeta Citi",CFG_CITI,0))</f>
        <v/>
      </c>
      <c r="I197" s="112">
        <f>IF(N($G197)=0,"",$G197*$H197)</f>
        <v/>
      </c>
      <c r="J197" s="114">
        <f>IF(N($G197)=0,"",$G197+$I197)</f>
        <v/>
      </c>
      <c r="K197" s="107" t="n"/>
    </row>
    <row r="198">
      <c r="B198" s="132" t="n"/>
      <c r="C198" s="107" t="n"/>
      <c r="D198" s="107" t="n"/>
      <c r="E198" s="107" t="n"/>
      <c r="F198" s="107" t="n"/>
      <c r="G198" s="133" t="n"/>
      <c r="H198" s="115">
        <f>IF(N($G198)=0,"",IF($F198="Tarjeta Citi",CFG_CITI,0))</f>
        <v/>
      </c>
      <c r="I198" s="112">
        <f>IF(N($G198)=0,"",$G198*$H198)</f>
        <v/>
      </c>
      <c r="J198" s="114">
        <f>IF(N($G198)=0,"",$G198+$I198)</f>
        <v/>
      </c>
      <c r="K198" s="107" t="n"/>
    </row>
    <row r="199">
      <c r="B199" s="132" t="n"/>
      <c r="C199" s="107" t="n"/>
      <c r="D199" s="107" t="n"/>
      <c r="E199" s="107" t="n"/>
      <c r="F199" s="107" t="n"/>
      <c r="G199" s="133" t="n"/>
      <c r="H199" s="115">
        <f>IF(N($G199)=0,"",IF($F199="Tarjeta Citi",CFG_CITI,0))</f>
        <v/>
      </c>
      <c r="I199" s="112">
        <f>IF(N($G199)=0,"",$G199*$H199)</f>
        <v/>
      </c>
      <c r="J199" s="114">
        <f>IF(N($G199)=0,"",$G199+$I199)</f>
        <v/>
      </c>
      <c r="K199" s="107" t="n"/>
    </row>
    <row r="200">
      <c r="B200" s="132" t="n"/>
      <c r="C200" s="107" t="n"/>
      <c r="D200" s="107" t="n"/>
      <c r="E200" s="107" t="n"/>
      <c r="F200" s="107" t="n"/>
      <c r="G200" s="133" t="n"/>
      <c r="H200" s="115">
        <f>IF(N($G200)=0,"",IF($F200="Tarjeta Citi",CFG_CITI,0))</f>
        <v/>
      </c>
      <c r="I200" s="112">
        <f>IF(N($G200)=0,"",$G200*$H200)</f>
        <v/>
      </c>
      <c r="J200" s="114">
        <f>IF(N($G200)=0,"",$G200+$I200)</f>
        <v/>
      </c>
      <c r="K200" s="107" t="n"/>
    </row>
    <row r="201">
      <c r="B201" s="132" t="n"/>
      <c r="C201" s="107" t="n"/>
      <c r="D201" s="107" t="n"/>
      <c r="E201" s="107" t="n"/>
      <c r="F201" s="107" t="n"/>
      <c r="G201" s="133" t="n"/>
      <c r="H201" s="115">
        <f>IF(N($G201)=0,"",IF($F201="Tarjeta Citi",CFG_CITI,0))</f>
        <v/>
      </c>
      <c r="I201" s="112">
        <f>IF(N($G201)=0,"",$G201*$H201)</f>
        <v/>
      </c>
      <c r="J201" s="114">
        <f>IF(N($G201)=0,"",$G201+$I201)</f>
        <v/>
      </c>
      <c r="K201" s="107" t="n"/>
    </row>
    <row r="202">
      <c r="B202" s="132" t="n"/>
      <c r="C202" s="107" t="n"/>
      <c r="D202" s="107" t="n"/>
      <c r="E202" s="107" t="n"/>
      <c r="F202" s="107" t="n"/>
      <c r="G202" s="133" t="n"/>
      <c r="H202" s="115">
        <f>IF(N($G202)=0,"",IF($F202="Tarjeta Citi",CFG_CITI,0))</f>
        <v/>
      </c>
      <c r="I202" s="112">
        <f>IF(N($G202)=0,"",$G202*$H202)</f>
        <v/>
      </c>
      <c r="J202" s="114">
        <f>IF(N($G202)=0,"",$G202+$I202)</f>
        <v/>
      </c>
      <c r="K202" s="107" t="n"/>
    </row>
    <row r="203">
      <c r="B203" s="132" t="n"/>
      <c r="C203" s="107" t="n"/>
      <c r="D203" s="107" t="n"/>
      <c r="E203" s="107" t="n"/>
      <c r="F203" s="107" t="n"/>
      <c r="G203" s="133" t="n"/>
      <c r="H203" s="115">
        <f>IF(N($G203)=0,"",IF($F203="Tarjeta Citi",CFG_CITI,0))</f>
        <v/>
      </c>
      <c r="I203" s="112">
        <f>IF(N($G203)=0,"",$G203*$H203)</f>
        <v/>
      </c>
      <c r="J203" s="114">
        <f>IF(N($G203)=0,"",$G203+$I203)</f>
        <v/>
      </c>
      <c r="K203" s="107" t="n"/>
    </row>
    <row r="204">
      <c r="B204" s="132" t="n"/>
      <c r="C204" s="107" t="n"/>
      <c r="D204" s="107" t="n"/>
      <c r="E204" s="107" t="n"/>
      <c r="F204" s="107" t="n"/>
      <c r="G204" s="133" t="n"/>
      <c r="H204" s="115">
        <f>IF(N($G204)=0,"",IF($F204="Tarjeta Citi",CFG_CITI,0))</f>
        <v/>
      </c>
      <c r="I204" s="112">
        <f>IF(N($G204)=0,"",$G204*$H204)</f>
        <v/>
      </c>
      <c r="J204" s="114">
        <f>IF(N($G204)=0,"",$G204+$I204)</f>
        <v/>
      </c>
      <c r="K204" s="107" t="n"/>
    </row>
    <row r="205">
      <c r="B205" s="132" t="n"/>
      <c r="C205" s="107" t="n"/>
      <c r="D205" s="107" t="n"/>
      <c r="E205" s="107" t="n"/>
      <c r="F205" s="107" t="n"/>
      <c r="G205" s="133" t="n"/>
      <c r="H205" s="115">
        <f>IF(N($G205)=0,"",IF($F205="Tarjeta Citi",CFG_CITI,0))</f>
        <v/>
      </c>
      <c r="I205" s="112">
        <f>IF(N($G205)=0,"",$G205*$H205)</f>
        <v/>
      </c>
      <c r="J205" s="114">
        <f>IF(N($G205)=0,"",$G205+$I205)</f>
        <v/>
      </c>
      <c r="K205" s="107" t="n"/>
    </row>
    <row r="206">
      <c r="B206" s="132" t="n"/>
      <c r="C206" s="107" t="n"/>
      <c r="D206" s="107" t="n"/>
      <c r="E206" s="107" t="n"/>
      <c r="F206" s="107" t="n"/>
      <c r="G206" s="133" t="n"/>
      <c r="H206" s="115">
        <f>IF(N($G206)=0,"",IF($F206="Tarjeta Citi",CFG_CITI,0))</f>
        <v/>
      </c>
      <c r="I206" s="112">
        <f>IF(N($G206)=0,"",$G206*$H206)</f>
        <v/>
      </c>
      <c r="J206" s="114">
        <f>IF(N($G206)=0,"",$G206+$I206)</f>
        <v/>
      </c>
      <c r="K206" s="107" t="n"/>
    </row>
    <row r="207">
      <c r="B207" s="132" t="n"/>
      <c r="C207" s="107" t="n"/>
      <c r="D207" s="107" t="n"/>
      <c r="E207" s="107" t="n"/>
      <c r="F207" s="107" t="n"/>
      <c r="G207" s="133" t="n"/>
      <c r="H207" s="115">
        <f>IF(N($G207)=0,"",IF($F207="Tarjeta Citi",CFG_CITI,0))</f>
        <v/>
      </c>
      <c r="I207" s="112">
        <f>IF(N($G207)=0,"",$G207*$H207)</f>
        <v/>
      </c>
      <c r="J207" s="114">
        <f>IF(N($G207)=0,"",$G207+$I207)</f>
        <v/>
      </c>
      <c r="K207" s="107" t="n"/>
    </row>
    <row r="208">
      <c r="B208" s="132" t="n"/>
      <c r="C208" s="107" t="n"/>
      <c r="D208" s="107" t="n"/>
      <c r="E208" s="107" t="n"/>
      <c r="F208" s="107" t="n"/>
      <c r="G208" s="133" t="n"/>
      <c r="H208" s="115">
        <f>IF(N($G208)=0,"",IF($F208="Tarjeta Citi",CFG_CITI,0))</f>
        <v/>
      </c>
      <c r="I208" s="112">
        <f>IF(N($G208)=0,"",$G208*$H208)</f>
        <v/>
      </c>
      <c r="J208" s="114">
        <f>IF(N($G208)=0,"",$G208+$I208)</f>
        <v/>
      </c>
      <c r="K208" s="107" t="n"/>
    </row>
    <row r="209">
      <c r="B209" s="132" t="n"/>
      <c r="C209" s="107" t="n"/>
      <c r="D209" s="107" t="n"/>
      <c r="E209" s="107" t="n"/>
      <c r="F209" s="107" t="n"/>
      <c r="G209" s="133" t="n"/>
      <c r="H209" s="115">
        <f>IF(N($G209)=0,"",IF($F209="Tarjeta Citi",CFG_CITI,0))</f>
        <v/>
      </c>
      <c r="I209" s="112">
        <f>IF(N($G209)=0,"",$G209*$H209)</f>
        <v/>
      </c>
      <c r="J209" s="114">
        <f>IF(N($G209)=0,"",$G209+$I209)</f>
        <v/>
      </c>
      <c r="K209" s="107" t="n"/>
    </row>
    <row r="210">
      <c r="B210" s="132" t="n"/>
      <c r="C210" s="107" t="n"/>
      <c r="D210" s="107" t="n"/>
      <c r="E210" s="107" t="n"/>
      <c r="F210" s="107" t="n"/>
      <c r="G210" s="133" t="n"/>
      <c r="H210" s="115">
        <f>IF(N($G210)=0,"",IF($F210="Tarjeta Citi",CFG_CITI,0))</f>
        <v/>
      </c>
      <c r="I210" s="112">
        <f>IF(N($G210)=0,"",$G210*$H210)</f>
        <v/>
      </c>
      <c r="J210" s="114">
        <f>IF(N($G210)=0,"",$G210+$I210)</f>
        <v/>
      </c>
      <c r="K210" s="107" t="n"/>
    </row>
    <row r="211">
      <c r="B211" s="132" t="n"/>
      <c r="C211" s="107" t="n"/>
      <c r="D211" s="107" t="n"/>
      <c r="E211" s="107" t="n"/>
      <c r="F211" s="107" t="n"/>
      <c r="G211" s="133" t="n"/>
      <c r="H211" s="115">
        <f>IF(N($G211)=0,"",IF($F211="Tarjeta Citi",CFG_CITI,0))</f>
        <v/>
      </c>
      <c r="I211" s="112">
        <f>IF(N($G211)=0,"",$G211*$H211)</f>
        <v/>
      </c>
      <c r="J211" s="114">
        <f>IF(N($G211)=0,"",$G211+$I211)</f>
        <v/>
      </c>
      <c r="K211" s="107" t="n"/>
    </row>
    <row r="212">
      <c r="B212" s="132" t="n"/>
      <c r="C212" s="107" t="n"/>
      <c r="D212" s="107" t="n"/>
      <c r="E212" s="107" t="n"/>
      <c r="F212" s="107" t="n"/>
      <c r="G212" s="133" t="n"/>
      <c r="H212" s="115">
        <f>IF(N($G212)=0,"",IF($F212="Tarjeta Citi",CFG_CITI,0))</f>
        <v/>
      </c>
      <c r="I212" s="112">
        <f>IF(N($G212)=0,"",$G212*$H212)</f>
        <v/>
      </c>
      <c r="J212" s="114">
        <f>IF(N($G212)=0,"",$G212+$I212)</f>
        <v/>
      </c>
      <c r="K212" s="107" t="n"/>
    </row>
    <row r="213">
      <c r="B213" s="132" t="n"/>
      <c r="C213" s="107" t="n"/>
      <c r="D213" s="107" t="n"/>
      <c r="E213" s="107" t="n"/>
      <c r="F213" s="107" t="n"/>
      <c r="G213" s="133" t="n"/>
      <c r="H213" s="115">
        <f>IF(N($G213)=0,"",IF($F213="Tarjeta Citi",CFG_CITI,0))</f>
        <v/>
      </c>
      <c r="I213" s="112">
        <f>IF(N($G213)=0,"",$G213*$H213)</f>
        <v/>
      </c>
      <c r="J213" s="114">
        <f>IF(N($G213)=0,"",$G213+$I213)</f>
        <v/>
      </c>
      <c r="K213" s="107" t="n"/>
    </row>
    <row r="214">
      <c r="B214" s="132" t="n"/>
      <c r="C214" s="107" t="n"/>
      <c r="D214" s="107" t="n"/>
      <c r="E214" s="107" t="n"/>
      <c r="F214" s="107" t="n"/>
      <c r="G214" s="133" t="n"/>
      <c r="H214" s="115">
        <f>IF(N($G214)=0,"",IF($F214="Tarjeta Citi",CFG_CITI,0))</f>
        <v/>
      </c>
      <c r="I214" s="112">
        <f>IF(N($G214)=0,"",$G214*$H214)</f>
        <v/>
      </c>
      <c r="J214" s="114">
        <f>IF(N($G214)=0,"",$G214+$I214)</f>
        <v/>
      </c>
      <c r="K214" s="107" t="n"/>
    </row>
    <row r="215">
      <c r="B215" s="132" t="n"/>
      <c r="C215" s="107" t="n"/>
      <c r="D215" s="107" t="n"/>
      <c r="E215" s="107" t="n"/>
      <c r="F215" s="107" t="n"/>
      <c r="G215" s="133" t="n"/>
      <c r="H215" s="115">
        <f>IF(N($G215)=0,"",IF($F215="Tarjeta Citi",CFG_CITI,0))</f>
        <v/>
      </c>
      <c r="I215" s="112">
        <f>IF(N($G215)=0,"",$G215*$H215)</f>
        <v/>
      </c>
      <c r="J215" s="114">
        <f>IF(N($G215)=0,"",$G215+$I215)</f>
        <v/>
      </c>
      <c r="K215" s="107" t="n"/>
    </row>
    <row r="216">
      <c r="B216" s="132" t="n"/>
      <c r="C216" s="107" t="n"/>
      <c r="D216" s="107" t="n"/>
      <c r="E216" s="107" t="n"/>
      <c r="F216" s="107" t="n"/>
      <c r="G216" s="133" t="n"/>
      <c r="H216" s="115">
        <f>IF(N($G216)=0,"",IF($F216="Tarjeta Citi",CFG_CITI,0))</f>
        <v/>
      </c>
      <c r="I216" s="112">
        <f>IF(N($G216)=0,"",$G216*$H216)</f>
        <v/>
      </c>
      <c r="J216" s="114">
        <f>IF(N($G216)=0,"",$G216+$I216)</f>
        <v/>
      </c>
      <c r="K216" s="107" t="n"/>
    </row>
    <row r="217">
      <c r="B217" s="132" t="n"/>
      <c r="C217" s="107" t="n"/>
      <c r="D217" s="107" t="n"/>
      <c r="E217" s="107" t="n"/>
      <c r="F217" s="107" t="n"/>
      <c r="G217" s="133" t="n"/>
      <c r="H217" s="115">
        <f>IF(N($G217)=0,"",IF($F217="Tarjeta Citi",CFG_CITI,0))</f>
        <v/>
      </c>
      <c r="I217" s="112">
        <f>IF(N($G217)=0,"",$G217*$H217)</f>
        <v/>
      </c>
      <c r="J217" s="114">
        <f>IF(N($G217)=0,"",$G217+$I217)</f>
        <v/>
      </c>
      <c r="K217" s="107" t="n"/>
    </row>
    <row r="218">
      <c r="B218" s="132" t="n"/>
      <c r="C218" s="107" t="n"/>
      <c r="D218" s="107" t="n"/>
      <c r="E218" s="107" t="n"/>
      <c r="F218" s="107" t="n"/>
      <c r="G218" s="133" t="n"/>
      <c r="H218" s="115">
        <f>IF(N($G218)=0,"",IF($F218="Tarjeta Citi",CFG_CITI,0))</f>
        <v/>
      </c>
      <c r="I218" s="112">
        <f>IF(N($G218)=0,"",$G218*$H218)</f>
        <v/>
      </c>
      <c r="J218" s="114">
        <f>IF(N($G218)=0,"",$G218+$I218)</f>
        <v/>
      </c>
      <c r="K218" s="107" t="n"/>
    </row>
    <row r="219">
      <c r="B219" s="132" t="n"/>
      <c r="C219" s="107" t="n"/>
      <c r="D219" s="107" t="n"/>
      <c r="E219" s="107" t="n"/>
      <c r="F219" s="107" t="n"/>
      <c r="G219" s="133" t="n"/>
      <c r="H219" s="115">
        <f>IF(N($G219)=0,"",IF($F219="Tarjeta Citi",CFG_CITI,0))</f>
        <v/>
      </c>
      <c r="I219" s="112">
        <f>IF(N($G219)=0,"",$G219*$H219)</f>
        <v/>
      </c>
      <c r="J219" s="114">
        <f>IF(N($G219)=0,"",$G219+$I219)</f>
        <v/>
      </c>
      <c r="K219" s="107" t="n"/>
    </row>
    <row r="220">
      <c r="B220" s="132" t="n"/>
      <c r="C220" s="107" t="n"/>
      <c r="D220" s="107" t="n"/>
      <c r="E220" s="107" t="n"/>
      <c r="F220" s="107" t="n"/>
      <c r="G220" s="133" t="n"/>
      <c r="H220" s="115">
        <f>IF(N($G220)=0,"",IF($F220="Tarjeta Citi",CFG_CITI,0))</f>
        <v/>
      </c>
      <c r="I220" s="112">
        <f>IF(N($G220)=0,"",$G220*$H220)</f>
        <v/>
      </c>
      <c r="J220" s="114">
        <f>IF(N($G220)=0,"",$G220+$I220)</f>
        <v/>
      </c>
      <c r="K220" s="107" t="n"/>
    </row>
    <row r="221">
      <c r="B221" s="132" t="n"/>
      <c r="C221" s="107" t="n"/>
      <c r="D221" s="107" t="n"/>
      <c r="E221" s="107" t="n"/>
      <c r="F221" s="107" t="n"/>
      <c r="G221" s="133" t="n"/>
      <c r="H221" s="115">
        <f>IF(N($G221)=0,"",IF($F221="Tarjeta Citi",CFG_CITI,0))</f>
        <v/>
      </c>
      <c r="I221" s="112">
        <f>IF(N($G221)=0,"",$G221*$H221)</f>
        <v/>
      </c>
      <c r="J221" s="114">
        <f>IF(N($G221)=0,"",$G221+$I221)</f>
        <v/>
      </c>
      <c r="K221" s="107" t="n"/>
    </row>
    <row r="222">
      <c r="B222" s="132" t="n"/>
      <c r="C222" s="107" t="n"/>
      <c r="D222" s="107" t="n"/>
      <c r="E222" s="107" t="n"/>
      <c r="F222" s="107" t="n"/>
      <c r="G222" s="133" t="n"/>
      <c r="H222" s="115">
        <f>IF(N($G222)=0,"",IF($F222="Tarjeta Citi",CFG_CITI,0))</f>
        <v/>
      </c>
      <c r="I222" s="112">
        <f>IF(N($G222)=0,"",$G222*$H222)</f>
        <v/>
      </c>
      <c r="J222" s="114">
        <f>IF(N($G222)=0,"",$G222+$I222)</f>
        <v/>
      </c>
      <c r="K222" s="107" t="n"/>
    </row>
    <row r="223">
      <c r="B223" s="132" t="n"/>
      <c r="C223" s="107" t="n"/>
      <c r="D223" s="107" t="n"/>
      <c r="E223" s="107" t="n"/>
      <c r="F223" s="107" t="n"/>
      <c r="G223" s="133" t="n"/>
      <c r="H223" s="115">
        <f>IF(N($G223)=0,"",IF($F223="Tarjeta Citi",CFG_CITI,0))</f>
        <v/>
      </c>
      <c r="I223" s="112">
        <f>IF(N($G223)=0,"",$G223*$H223)</f>
        <v/>
      </c>
      <c r="J223" s="114">
        <f>IF(N($G223)=0,"",$G223+$I223)</f>
        <v/>
      </c>
      <c r="K223" s="107" t="n"/>
    </row>
    <row r="224">
      <c r="B224" s="132" t="n"/>
      <c r="C224" s="107" t="n"/>
      <c r="D224" s="107" t="n"/>
      <c r="E224" s="107" t="n"/>
      <c r="F224" s="107" t="n"/>
      <c r="G224" s="133" t="n"/>
      <c r="H224" s="115">
        <f>IF(N($G224)=0,"",IF($F224="Tarjeta Citi",CFG_CITI,0))</f>
        <v/>
      </c>
      <c r="I224" s="112">
        <f>IF(N($G224)=0,"",$G224*$H224)</f>
        <v/>
      </c>
      <c r="J224" s="114">
        <f>IF(N($G224)=0,"",$G224+$I224)</f>
        <v/>
      </c>
      <c r="K224" s="107" t="n"/>
    </row>
    <row r="225">
      <c r="B225" s="132" t="n"/>
      <c r="C225" s="107" t="n"/>
      <c r="D225" s="107" t="n"/>
      <c r="E225" s="107" t="n"/>
      <c r="F225" s="107" t="n"/>
      <c r="G225" s="133" t="n"/>
      <c r="H225" s="115">
        <f>IF(N($G225)=0,"",IF($F225="Tarjeta Citi",CFG_CITI,0))</f>
        <v/>
      </c>
      <c r="I225" s="112">
        <f>IF(N($G225)=0,"",$G225*$H225)</f>
        <v/>
      </c>
      <c r="J225" s="114">
        <f>IF(N($G225)=0,"",$G225+$I225)</f>
        <v/>
      </c>
      <c r="K225" s="107" t="n"/>
    </row>
    <row r="226">
      <c r="B226" s="132" t="n"/>
      <c r="C226" s="107" t="n"/>
      <c r="D226" s="107" t="n"/>
      <c r="E226" s="107" t="n"/>
      <c r="F226" s="107" t="n"/>
      <c r="G226" s="133" t="n"/>
      <c r="H226" s="115">
        <f>IF(N($G226)=0,"",IF($F226="Tarjeta Citi",CFG_CITI,0))</f>
        <v/>
      </c>
      <c r="I226" s="112">
        <f>IF(N($G226)=0,"",$G226*$H226)</f>
        <v/>
      </c>
      <c r="J226" s="114">
        <f>IF(N($G226)=0,"",$G226+$I226)</f>
        <v/>
      </c>
      <c r="K226" s="107" t="n"/>
    </row>
    <row r="227">
      <c r="B227" s="132" t="n"/>
      <c r="C227" s="107" t="n"/>
      <c r="D227" s="107" t="n"/>
      <c r="E227" s="107" t="n"/>
      <c r="F227" s="107" t="n"/>
      <c r="G227" s="133" t="n"/>
      <c r="H227" s="115">
        <f>IF(N($G227)=0,"",IF($F227="Tarjeta Citi",CFG_CITI,0))</f>
        <v/>
      </c>
      <c r="I227" s="112">
        <f>IF(N($G227)=0,"",$G227*$H227)</f>
        <v/>
      </c>
      <c r="J227" s="114">
        <f>IF(N($G227)=0,"",$G227+$I227)</f>
        <v/>
      </c>
      <c r="K227" s="107" t="n"/>
    </row>
    <row r="228">
      <c r="B228" s="132" t="n"/>
      <c r="C228" s="107" t="n"/>
      <c r="D228" s="107" t="n"/>
      <c r="E228" s="107" t="n"/>
      <c r="F228" s="107" t="n"/>
      <c r="G228" s="133" t="n"/>
      <c r="H228" s="115">
        <f>IF(N($G228)=0,"",IF($F228="Tarjeta Citi",CFG_CITI,0))</f>
        <v/>
      </c>
      <c r="I228" s="112">
        <f>IF(N($G228)=0,"",$G228*$H228)</f>
        <v/>
      </c>
      <c r="J228" s="114">
        <f>IF(N($G228)=0,"",$G228+$I228)</f>
        <v/>
      </c>
      <c r="K228" s="107" t="n"/>
    </row>
    <row r="229">
      <c r="B229" s="132" t="n"/>
      <c r="C229" s="107" t="n"/>
      <c r="D229" s="107" t="n"/>
      <c r="E229" s="107" t="n"/>
      <c r="F229" s="107" t="n"/>
      <c r="G229" s="133" t="n"/>
      <c r="H229" s="115">
        <f>IF(N($G229)=0,"",IF($F229="Tarjeta Citi",CFG_CITI,0))</f>
        <v/>
      </c>
      <c r="I229" s="112">
        <f>IF(N($G229)=0,"",$G229*$H229)</f>
        <v/>
      </c>
      <c r="J229" s="114">
        <f>IF(N($G229)=0,"",$G229+$I229)</f>
        <v/>
      </c>
      <c r="K229" s="107" t="n"/>
    </row>
    <row r="230">
      <c r="B230" s="132" t="n"/>
      <c r="C230" s="107" t="n"/>
      <c r="D230" s="107" t="n"/>
      <c r="E230" s="107" t="n"/>
      <c r="F230" s="107" t="n"/>
      <c r="G230" s="133" t="n"/>
      <c r="H230" s="115">
        <f>IF(N($G230)=0,"",IF($F230="Tarjeta Citi",CFG_CITI,0))</f>
        <v/>
      </c>
      <c r="I230" s="112">
        <f>IF(N($G230)=0,"",$G230*$H230)</f>
        <v/>
      </c>
      <c r="J230" s="114">
        <f>IF(N($G230)=0,"",$G230+$I230)</f>
        <v/>
      </c>
      <c r="K230" s="107" t="n"/>
    </row>
    <row r="231">
      <c r="B231" s="132" t="n"/>
      <c r="C231" s="107" t="n"/>
      <c r="D231" s="107" t="n"/>
      <c r="E231" s="107" t="n"/>
      <c r="F231" s="107" t="n"/>
      <c r="G231" s="133" t="n"/>
      <c r="H231" s="115">
        <f>IF(N($G231)=0,"",IF($F231="Tarjeta Citi",CFG_CITI,0))</f>
        <v/>
      </c>
      <c r="I231" s="112">
        <f>IF(N($G231)=0,"",$G231*$H231)</f>
        <v/>
      </c>
      <c r="J231" s="114">
        <f>IF(N($G231)=0,"",$G231+$I231)</f>
        <v/>
      </c>
      <c r="K231" s="107" t="n"/>
    </row>
    <row r="232">
      <c r="B232" s="132" t="n"/>
      <c r="C232" s="107" t="n"/>
      <c r="D232" s="107" t="n"/>
      <c r="E232" s="107" t="n"/>
      <c r="F232" s="107" t="n"/>
      <c r="G232" s="133" t="n"/>
      <c r="H232" s="115">
        <f>IF(N($G232)=0,"",IF($F232="Tarjeta Citi",CFG_CITI,0))</f>
        <v/>
      </c>
      <c r="I232" s="112">
        <f>IF(N($G232)=0,"",$G232*$H232)</f>
        <v/>
      </c>
      <c r="J232" s="114">
        <f>IF(N($G232)=0,"",$G232+$I232)</f>
        <v/>
      </c>
      <c r="K232" s="107" t="n"/>
    </row>
    <row r="233">
      <c r="B233" s="132" t="n"/>
      <c r="C233" s="107" t="n"/>
      <c r="D233" s="107" t="n"/>
      <c r="E233" s="107" t="n"/>
      <c r="F233" s="107" t="n"/>
      <c r="G233" s="133" t="n"/>
      <c r="H233" s="115">
        <f>IF(N($G233)=0,"",IF($F233="Tarjeta Citi",CFG_CITI,0))</f>
        <v/>
      </c>
      <c r="I233" s="112">
        <f>IF(N($G233)=0,"",$G233*$H233)</f>
        <v/>
      </c>
      <c r="J233" s="114">
        <f>IF(N($G233)=0,"",$G233+$I233)</f>
        <v/>
      </c>
      <c r="K233" s="107" t="n"/>
    </row>
    <row r="234">
      <c r="B234" s="132" t="n"/>
      <c r="C234" s="107" t="n"/>
      <c r="D234" s="107" t="n"/>
      <c r="E234" s="107" t="n"/>
      <c r="F234" s="107" t="n"/>
      <c r="G234" s="133" t="n"/>
      <c r="H234" s="115">
        <f>IF(N($G234)=0,"",IF($F234="Tarjeta Citi",CFG_CITI,0))</f>
        <v/>
      </c>
      <c r="I234" s="112">
        <f>IF(N($G234)=0,"",$G234*$H234)</f>
        <v/>
      </c>
      <c r="J234" s="114">
        <f>IF(N($G234)=0,"",$G234+$I234)</f>
        <v/>
      </c>
      <c r="K234" s="107" t="n"/>
    </row>
    <row r="235">
      <c r="B235" s="132" t="n"/>
      <c r="C235" s="107" t="n"/>
      <c r="D235" s="107" t="n"/>
      <c r="E235" s="107" t="n"/>
      <c r="F235" s="107" t="n"/>
      <c r="G235" s="133" t="n"/>
      <c r="H235" s="115">
        <f>IF(N($G235)=0,"",IF($F235="Tarjeta Citi",CFG_CITI,0))</f>
        <v/>
      </c>
      <c r="I235" s="112">
        <f>IF(N($G235)=0,"",$G235*$H235)</f>
        <v/>
      </c>
      <c r="J235" s="114">
        <f>IF(N($G235)=0,"",$G235+$I235)</f>
        <v/>
      </c>
      <c r="K235" s="107" t="n"/>
    </row>
    <row r="236">
      <c r="B236" s="132" t="n"/>
      <c r="C236" s="107" t="n"/>
      <c r="D236" s="107" t="n"/>
      <c r="E236" s="107" t="n"/>
      <c r="F236" s="107" t="n"/>
      <c r="G236" s="133" t="n"/>
      <c r="H236" s="115">
        <f>IF(N($G236)=0,"",IF($F236="Tarjeta Citi",CFG_CITI,0))</f>
        <v/>
      </c>
      <c r="I236" s="112">
        <f>IF(N($G236)=0,"",$G236*$H236)</f>
        <v/>
      </c>
      <c r="J236" s="114">
        <f>IF(N($G236)=0,"",$G236+$I236)</f>
        <v/>
      </c>
      <c r="K236" s="107" t="n"/>
    </row>
    <row r="237">
      <c r="B237" s="132" t="n"/>
      <c r="C237" s="107" t="n"/>
      <c r="D237" s="107" t="n"/>
      <c r="E237" s="107" t="n"/>
      <c r="F237" s="107" t="n"/>
      <c r="G237" s="133" t="n"/>
      <c r="H237" s="115">
        <f>IF(N($G237)=0,"",IF($F237="Tarjeta Citi",CFG_CITI,0))</f>
        <v/>
      </c>
      <c r="I237" s="112">
        <f>IF(N($G237)=0,"",$G237*$H237)</f>
        <v/>
      </c>
      <c r="J237" s="114">
        <f>IF(N($G237)=0,"",$G237+$I237)</f>
        <v/>
      </c>
      <c r="K237" s="107" t="n"/>
    </row>
    <row r="238">
      <c r="B238" s="132" t="n"/>
      <c r="C238" s="107" t="n"/>
      <c r="D238" s="107" t="n"/>
      <c r="E238" s="107" t="n"/>
      <c r="F238" s="107" t="n"/>
      <c r="G238" s="133" t="n"/>
      <c r="H238" s="115">
        <f>IF(N($G238)=0,"",IF($F238="Tarjeta Citi",CFG_CITI,0))</f>
        <v/>
      </c>
      <c r="I238" s="112">
        <f>IF(N($G238)=0,"",$G238*$H238)</f>
        <v/>
      </c>
      <c r="J238" s="114">
        <f>IF(N($G238)=0,"",$G238+$I238)</f>
        <v/>
      </c>
      <c r="K238" s="107" t="n"/>
    </row>
    <row r="239">
      <c r="B239" s="132" t="n"/>
      <c r="C239" s="107" t="n"/>
      <c r="D239" s="107" t="n"/>
      <c r="E239" s="107" t="n"/>
      <c r="F239" s="107" t="n"/>
      <c r="G239" s="133" t="n"/>
      <c r="H239" s="115">
        <f>IF(N($G239)=0,"",IF($F239="Tarjeta Citi",CFG_CITI,0))</f>
        <v/>
      </c>
      <c r="I239" s="112">
        <f>IF(N($G239)=0,"",$G239*$H239)</f>
        <v/>
      </c>
      <c r="J239" s="114">
        <f>IF(N($G239)=0,"",$G239+$I239)</f>
        <v/>
      </c>
      <c r="K239" s="107" t="n"/>
    </row>
    <row r="240">
      <c r="B240" s="132" t="n"/>
      <c r="C240" s="107" t="n"/>
      <c r="D240" s="107" t="n"/>
      <c r="E240" s="107" t="n"/>
      <c r="F240" s="107" t="n"/>
      <c r="G240" s="133" t="n"/>
      <c r="H240" s="115">
        <f>IF(N($G240)=0,"",IF($F240="Tarjeta Citi",CFG_CITI,0))</f>
        <v/>
      </c>
      <c r="I240" s="112">
        <f>IF(N($G240)=0,"",$G240*$H240)</f>
        <v/>
      </c>
      <c r="J240" s="114">
        <f>IF(N($G240)=0,"",$G240+$I240)</f>
        <v/>
      </c>
      <c r="K240" s="107" t="n"/>
    </row>
    <row r="241">
      <c r="B241" s="132" t="n"/>
      <c r="C241" s="107" t="n"/>
      <c r="D241" s="107" t="n"/>
      <c r="E241" s="107" t="n"/>
      <c r="F241" s="107" t="n"/>
      <c r="G241" s="133" t="n"/>
      <c r="H241" s="115">
        <f>IF(N($G241)=0,"",IF($F241="Tarjeta Citi",CFG_CITI,0))</f>
        <v/>
      </c>
      <c r="I241" s="112">
        <f>IF(N($G241)=0,"",$G241*$H241)</f>
        <v/>
      </c>
      <c r="J241" s="114">
        <f>IF(N($G241)=0,"",$G241+$I241)</f>
        <v/>
      </c>
      <c r="K241" s="107" t="n"/>
    </row>
    <row r="242">
      <c r="B242" s="132" t="n"/>
      <c r="C242" s="107" t="n"/>
      <c r="D242" s="107" t="n"/>
      <c r="E242" s="107" t="n"/>
      <c r="F242" s="107" t="n"/>
      <c r="G242" s="133" t="n"/>
      <c r="H242" s="115">
        <f>IF(N($G242)=0,"",IF($F242="Tarjeta Citi",CFG_CITI,0))</f>
        <v/>
      </c>
      <c r="I242" s="112">
        <f>IF(N($G242)=0,"",$G242*$H242)</f>
        <v/>
      </c>
      <c r="J242" s="114">
        <f>IF(N($G242)=0,"",$G242+$I242)</f>
        <v/>
      </c>
      <c r="K242" s="107" t="n"/>
    </row>
    <row r="243">
      <c r="B243" s="132" t="n"/>
      <c r="C243" s="107" t="n"/>
      <c r="D243" s="107" t="n"/>
      <c r="E243" s="107" t="n"/>
      <c r="F243" s="107" t="n"/>
      <c r="G243" s="133" t="n"/>
      <c r="H243" s="115">
        <f>IF(N($G243)=0,"",IF($F243="Tarjeta Citi",CFG_CITI,0))</f>
        <v/>
      </c>
      <c r="I243" s="112">
        <f>IF(N($G243)=0,"",$G243*$H243)</f>
        <v/>
      </c>
      <c r="J243" s="114">
        <f>IF(N($G243)=0,"",$G243+$I243)</f>
        <v/>
      </c>
      <c r="K243" s="107" t="n"/>
    </row>
    <row r="244">
      <c r="B244" s="132" t="n"/>
      <c r="C244" s="107" t="n"/>
      <c r="D244" s="107" t="n"/>
      <c r="E244" s="107" t="n"/>
      <c r="F244" s="107" t="n"/>
      <c r="G244" s="133" t="n"/>
      <c r="H244" s="115">
        <f>IF(N($G244)=0,"",IF($F244="Tarjeta Citi",CFG_CITI,0))</f>
        <v/>
      </c>
      <c r="I244" s="112">
        <f>IF(N($G244)=0,"",$G244*$H244)</f>
        <v/>
      </c>
      <c r="J244" s="114">
        <f>IF(N($G244)=0,"",$G244+$I244)</f>
        <v/>
      </c>
      <c r="K244" s="107" t="n"/>
    </row>
    <row r="245">
      <c r="B245" s="132" t="n"/>
      <c r="C245" s="107" t="n"/>
      <c r="D245" s="107" t="n"/>
      <c r="E245" s="107" t="n"/>
      <c r="F245" s="107" t="n"/>
      <c r="G245" s="133" t="n"/>
      <c r="H245" s="115">
        <f>IF(N($G245)=0,"",IF($F245="Tarjeta Citi",CFG_CITI,0))</f>
        <v/>
      </c>
      <c r="I245" s="112">
        <f>IF(N($G245)=0,"",$G245*$H245)</f>
        <v/>
      </c>
      <c r="J245" s="114">
        <f>IF(N($G245)=0,"",$G245+$I245)</f>
        <v/>
      </c>
      <c r="K245" s="107" t="n"/>
    </row>
    <row r="246">
      <c r="B246" s="132" t="n"/>
      <c r="C246" s="107" t="n"/>
      <c r="D246" s="107" t="n"/>
      <c r="E246" s="107" t="n"/>
      <c r="F246" s="107" t="n"/>
      <c r="G246" s="133" t="n"/>
      <c r="H246" s="115">
        <f>IF(N($G246)=0,"",IF($F246="Tarjeta Citi",CFG_CITI,0))</f>
        <v/>
      </c>
      <c r="I246" s="112">
        <f>IF(N($G246)=0,"",$G246*$H246)</f>
        <v/>
      </c>
      <c r="J246" s="114">
        <f>IF(N($G246)=0,"",$G246+$I246)</f>
        <v/>
      </c>
      <c r="K246" s="107" t="n"/>
    </row>
    <row r="247">
      <c r="B247" s="132" t="n"/>
      <c r="C247" s="107" t="n"/>
      <c r="D247" s="107" t="n"/>
      <c r="E247" s="107" t="n"/>
      <c r="F247" s="107" t="n"/>
      <c r="G247" s="133" t="n"/>
      <c r="H247" s="115">
        <f>IF(N($G247)=0,"",IF($F247="Tarjeta Citi",CFG_CITI,0))</f>
        <v/>
      </c>
      <c r="I247" s="112">
        <f>IF(N($G247)=0,"",$G247*$H247)</f>
        <v/>
      </c>
      <c r="J247" s="114">
        <f>IF(N($G247)=0,"",$G247+$I247)</f>
        <v/>
      </c>
      <c r="K247" s="107" t="n"/>
    </row>
    <row r="248">
      <c r="B248" s="132" t="n"/>
      <c r="C248" s="107" t="n"/>
      <c r="D248" s="107" t="n"/>
      <c r="E248" s="107" t="n"/>
      <c r="F248" s="107" t="n"/>
      <c r="G248" s="133" t="n"/>
      <c r="H248" s="115">
        <f>IF(N($G248)=0,"",IF($F248="Tarjeta Citi",CFG_CITI,0))</f>
        <v/>
      </c>
      <c r="I248" s="112">
        <f>IF(N($G248)=0,"",$G248*$H248)</f>
        <v/>
      </c>
      <c r="J248" s="114">
        <f>IF(N($G248)=0,"",$G248+$I248)</f>
        <v/>
      </c>
      <c r="K248" s="107" t="n"/>
    </row>
    <row r="249">
      <c r="B249" s="132" t="n"/>
      <c r="C249" s="107" t="n"/>
      <c r="D249" s="107" t="n"/>
      <c r="E249" s="107" t="n"/>
      <c r="F249" s="107" t="n"/>
      <c r="G249" s="133" t="n"/>
      <c r="H249" s="115">
        <f>IF(N($G249)=0,"",IF($F249="Tarjeta Citi",CFG_CITI,0))</f>
        <v/>
      </c>
      <c r="I249" s="112">
        <f>IF(N($G249)=0,"",$G249*$H249)</f>
        <v/>
      </c>
      <c r="J249" s="114">
        <f>IF(N($G249)=0,"",$G249+$I249)</f>
        <v/>
      </c>
      <c r="K249" s="107" t="n"/>
    </row>
    <row r="250">
      <c r="B250" s="132" t="n"/>
      <c r="C250" s="107" t="n"/>
      <c r="D250" s="107" t="n"/>
      <c r="E250" s="107" t="n"/>
      <c r="F250" s="107" t="n"/>
      <c r="G250" s="133" t="n"/>
      <c r="H250" s="115">
        <f>IF(N($G250)=0,"",IF($F250="Tarjeta Citi",CFG_CITI,0))</f>
        <v/>
      </c>
      <c r="I250" s="112">
        <f>IF(N($G250)=0,"",$G250*$H250)</f>
        <v/>
      </c>
      <c r="J250" s="114">
        <f>IF(N($G250)=0,"",$G250+$I250)</f>
        <v/>
      </c>
      <c r="K250" s="107" t="n"/>
    </row>
    <row r="251">
      <c r="B251" s="132" t="n"/>
      <c r="C251" s="107" t="n"/>
      <c r="D251" s="107" t="n"/>
      <c r="E251" s="107" t="n"/>
      <c r="F251" s="107" t="n"/>
      <c r="G251" s="133" t="n"/>
      <c r="H251" s="115">
        <f>IF(N($G251)=0,"",IF($F251="Tarjeta Citi",CFG_CITI,0))</f>
        <v/>
      </c>
      <c r="I251" s="112">
        <f>IF(N($G251)=0,"",$G251*$H251)</f>
        <v/>
      </c>
      <c r="J251" s="114">
        <f>IF(N($G251)=0,"",$G251+$I251)</f>
        <v/>
      </c>
      <c r="K251" s="107" t="n"/>
    </row>
    <row r="252">
      <c r="B252" s="132" t="n"/>
      <c r="C252" s="107" t="n"/>
      <c r="D252" s="107" t="n"/>
      <c r="E252" s="107" t="n"/>
      <c r="F252" s="107" t="n"/>
      <c r="G252" s="133" t="n"/>
      <c r="H252" s="115">
        <f>IF(N($G252)=0,"",IF($F252="Tarjeta Citi",CFG_CITI,0))</f>
        <v/>
      </c>
      <c r="I252" s="112">
        <f>IF(N($G252)=0,"",$G252*$H252)</f>
        <v/>
      </c>
      <c r="J252" s="114">
        <f>IF(N($G252)=0,"",$G252+$I252)</f>
        <v/>
      </c>
      <c r="K252" s="107" t="n"/>
    </row>
    <row r="253">
      <c r="B253" s="132" t="n"/>
      <c r="C253" s="107" t="n"/>
      <c r="D253" s="107" t="n"/>
      <c r="E253" s="107" t="n"/>
      <c r="F253" s="107" t="n"/>
      <c r="G253" s="133" t="n"/>
      <c r="H253" s="115">
        <f>IF(N($G253)=0,"",IF($F253="Tarjeta Citi",CFG_CITI,0))</f>
        <v/>
      </c>
      <c r="I253" s="112">
        <f>IF(N($G253)=0,"",$G253*$H253)</f>
        <v/>
      </c>
      <c r="J253" s="114">
        <f>IF(N($G253)=0,"",$G253+$I253)</f>
        <v/>
      </c>
      <c r="K253" s="107" t="n"/>
    </row>
    <row r="254">
      <c r="B254" s="132" t="n"/>
      <c r="C254" s="107" t="n"/>
      <c r="D254" s="107" t="n"/>
      <c r="E254" s="107" t="n"/>
      <c r="F254" s="107" t="n"/>
      <c r="G254" s="133" t="n"/>
      <c r="H254" s="115">
        <f>IF(N($G254)=0,"",IF($F254="Tarjeta Citi",CFG_CITI,0))</f>
        <v/>
      </c>
      <c r="I254" s="112">
        <f>IF(N($G254)=0,"",$G254*$H254)</f>
        <v/>
      </c>
      <c r="J254" s="114">
        <f>IF(N($G254)=0,"",$G254+$I254)</f>
        <v/>
      </c>
      <c r="K254" s="107" t="n"/>
    </row>
    <row r="255">
      <c r="B255" s="132" t="n"/>
      <c r="C255" s="107" t="n"/>
      <c r="D255" s="107" t="n"/>
      <c r="E255" s="107" t="n"/>
      <c r="F255" s="107" t="n"/>
      <c r="G255" s="133" t="n"/>
      <c r="H255" s="115">
        <f>IF(N($G255)=0,"",IF($F255="Tarjeta Citi",CFG_CITI,0))</f>
        <v/>
      </c>
      <c r="I255" s="112">
        <f>IF(N($G255)=0,"",$G255*$H255)</f>
        <v/>
      </c>
      <c r="J255" s="114">
        <f>IF(N($G255)=0,"",$G255+$I255)</f>
        <v/>
      </c>
      <c r="K255" s="107" t="n"/>
    </row>
    <row r="256">
      <c r="B256" s="132" t="n"/>
      <c r="C256" s="107" t="n"/>
      <c r="D256" s="107" t="n"/>
      <c r="E256" s="107" t="n"/>
      <c r="F256" s="107" t="n"/>
      <c r="G256" s="133" t="n"/>
      <c r="H256" s="115">
        <f>IF(N($G256)=0,"",IF($F256="Tarjeta Citi",CFG_CITI,0))</f>
        <v/>
      </c>
      <c r="I256" s="112">
        <f>IF(N($G256)=0,"",$G256*$H256)</f>
        <v/>
      </c>
      <c r="J256" s="114">
        <f>IF(N($G256)=0,"",$G256+$I256)</f>
        <v/>
      </c>
      <c r="K256" s="107" t="n"/>
    </row>
    <row r="257">
      <c r="B257" s="132" t="n"/>
      <c r="C257" s="107" t="n"/>
      <c r="D257" s="107" t="n"/>
      <c r="E257" s="107" t="n"/>
      <c r="F257" s="107" t="n"/>
      <c r="G257" s="133" t="n"/>
      <c r="H257" s="115">
        <f>IF(N($G257)=0,"",IF($F257="Tarjeta Citi",CFG_CITI,0))</f>
        <v/>
      </c>
      <c r="I257" s="112">
        <f>IF(N($G257)=0,"",$G257*$H257)</f>
        <v/>
      </c>
      <c r="J257" s="114">
        <f>IF(N($G257)=0,"",$G257+$I257)</f>
        <v/>
      </c>
      <c r="K257" s="107" t="n"/>
    </row>
    <row r="258">
      <c r="B258" s="132" t="n"/>
      <c r="C258" s="107" t="n"/>
      <c r="D258" s="107" t="n"/>
      <c r="E258" s="107" t="n"/>
      <c r="F258" s="107" t="n"/>
      <c r="G258" s="133" t="n"/>
      <c r="H258" s="115">
        <f>IF(N($G258)=0,"",IF($F258="Tarjeta Citi",CFG_CITI,0))</f>
        <v/>
      </c>
      <c r="I258" s="112">
        <f>IF(N($G258)=0,"",$G258*$H258)</f>
        <v/>
      </c>
      <c r="J258" s="114">
        <f>IF(N($G258)=0,"",$G258+$I258)</f>
        <v/>
      </c>
      <c r="K258" s="107" t="n"/>
    </row>
    <row r="259">
      <c r="B259" s="132" t="n"/>
      <c r="C259" s="107" t="n"/>
      <c r="D259" s="107" t="n"/>
      <c r="E259" s="107" t="n"/>
      <c r="F259" s="107" t="n"/>
      <c r="G259" s="133" t="n"/>
      <c r="H259" s="115">
        <f>IF(N($G259)=0,"",IF($F259="Tarjeta Citi",CFG_CITI,0))</f>
        <v/>
      </c>
      <c r="I259" s="112">
        <f>IF(N($G259)=0,"",$G259*$H259)</f>
        <v/>
      </c>
      <c r="J259" s="114">
        <f>IF(N($G259)=0,"",$G259+$I259)</f>
        <v/>
      </c>
      <c r="K259" s="107" t="n"/>
    </row>
    <row r="260">
      <c r="B260" s="132" t="n"/>
      <c r="C260" s="107" t="n"/>
      <c r="D260" s="107" t="n"/>
      <c r="E260" s="107" t="n"/>
      <c r="F260" s="107" t="n"/>
      <c r="G260" s="133" t="n"/>
      <c r="H260" s="115">
        <f>IF(N($G260)=0,"",IF($F260="Tarjeta Citi",CFG_CITI,0))</f>
        <v/>
      </c>
      <c r="I260" s="112">
        <f>IF(N($G260)=0,"",$G260*$H260)</f>
        <v/>
      </c>
      <c r="J260" s="114">
        <f>IF(N($G260)=0,"",$G260+$I260)</f>
        <v/>
      </c>
      <c r="K260" s="107" t="n"/>
    </row>
    <row r="261">
      <c r="B261" s="132" t="n"/>
      <c r="C261" s="107" t="n"/>
      <c r="D261" s="107" t="n"/>
      <c r="E261" s="107" t="n"/>
      <c r="F261" s="107" t="n"/>
      <c r="G261" s="133" t="n"/>
      <c r="H261" s="115">
        <f>IF(N($G261)=0,"",IF($F261="Tarjeta Citi",CFG_CITI,0))</f>
        <v/>
      </c>
      <c r="I261" s="112">
        <f>IF(N($G261)=0,"",$G261*$H261)</f>
        <v/>
      </c>
      <c r="J261" s="114">
        <f>IF(N($G261)=0,"",$G261+$I261)</f>
        <v/>
      </c>
      <c r="K261" s="107" t="n"/>
    </row>
    <row r="262">
      <c r="B262" s="132" t="n"/>
      <c r="C262" s="107" t="n"/>
      <c r="D262" s="107" t="n"/>
      <c r="E262" s="107" t="n"/>
      <c r="F262" s="107" t="n"/>
      <c r="G262" s="133" t="n"/>
      <c r="H262" s="115">
        <f>IF(N($G262)=0,"",IF($F262="Tarjeta Citi",CFG_CITI,0))</f>
        <v/>
      </c>
      <c r="I262" s="112">
        <f>IF(N($G262)=0,"",$G262*$H262)</f>
        <v/>
      </c>
      <c r="J262" s="114">
        <f>IF(N($G262)=0,"",$G262+$I262)</f>
        <v/>
      </c>
      <c r="K262" s="107" t="n"/>
    </row>
    <row r="263">
      <c r="B263" s="132" t="n"/>
      <c r="C263" s="107" t="n"/>
      <c r="D263" s="107" t="n"/>
      <c r="E263" s="107" t="n"/>
      <c r="F263" s="107" t="n"/>
      <c r="G263" s="133" t="n"/>
      <c r="H263" s="115">
        <f>IF(N($G263)=0,"",IF($F263="Tarjeta Citi",CFG_CITI,0))</f>
        <v/>
      </c>
      <c r="I263" s="112">
        <f>IF(N($G263)=0,"",$G263*$H263)</f>
        <v/>
      </c>
      <c r="J263" s="114">
        <f>IF(N($G263)=0,"",$G263+$I263)</f>
        <v/>
      </c>
      <c r="K263" s="107" t="n"/>
    </row>
    <row r="264">
      <c r="B264" s="132" t="n"/>
      <c r="C264" s="107" t="n"/>
      <c r="D264" s="107" t="n"/>
      <c r="E264" s="107" t="n"/>
      <c r="F264" s="107" t="n"/>
      <c r="G264" s="133" t="n"/>
      <c r="H264" s="115">
        <f>IF(N($G264)=0,"",IF($F264="Tarjeta Citi",CFG_CITI,0))</f>
        <v/>
      </c>
      <c r="I264" s="112">
        <f>IF(N($G264)=0,"",$G264*$H264)</f>
        <v/>
      </c>
      <c r="J264" s="114">
        <f>IF(N($G264)=0,"",$G264+$I264)</f>
        <v/>
      </c>
      <c r="K264" s="107" t="n"/>
    </row>
    <row r="265">
      <c r="B265" s="132" t="n"/>
      <c r="C265" s="107" t="n"/>
      <c r="D265" s="107" t="n"/>
      <c r="E265" s="107" t="n"/>
      <c r="F265" s="107" t="n"/>
      <c r="G265" s="133" t="n"/>
      <c r="H265" s="115">
        <f>IF(N($G265)=0,"",IF($F265="Tarjeta Citi",CFG_CITI,0))</f>
        <v/>
      </c>
      <c r="I265" s="112">
        <f>IF(N($G265)=0,"",$G265*$H265)</f>
        <v/>
      </c>
      <c r="J265" s="114">
        <f>IF(N($G265)=0,"",$G265+$I265)</f>
        <v/>
      </c>
      <c r="K265" s="107" t="n"/>
    </row>
    <row r="266">
      <c r="B266" s="132" t="n"/>
      <c r="C266" s="107" t="n"/>
      <c r="D266" s="107" t="n"/>
      <c r="E266" s="107" t="n"/>
      <c r="F266" s="107" t="n"/>
      <c r="G266" s="133" t="n"/>
      <c r="H266" s="115">
        <f>IF(N($G266)=0,"",IF($F266="Tarjeta Citi",CFG_CITI,0))</f>
        <v/>
      </c>
      <c r="I266" s="112">
        <f>IF(N($G266)=0,"",$G266*$H266)</f>
        <v/>
      </c>
      <c r="J266" s="114">
        <f>IF(N($G266)=0,"",$G266+$I266)</f>
        <v/>
      </c>
      <c r="K266" s="107" t="n"/>
    </row>
    <row r="267">
      <c r="B267" s="132" t="n"/>
      <c r="C267" s="107" t="n"/>
      <c r="D267" s="107" t="n"/>
      <c r="E267" s="107" t="n"/>
      <c r="F267" s="107" t="n"/>
      <c r="G267" s="133" t="n"/>
      <c r="H267" s="115">
        <f>IF(N($G267)=0,"",IF($F267="Tarjeta Citi",CFG_CITI,0))</f>
        <v/>
      </c>
      <c r="I267" s="112">
        <f>IF(N($G267)=0,"",$G267*$H267)</f>
        <v/>
      </c>
      <c r="J267" s="114">
        <f>IF(N($G267)=0,"",$G267+$I267)</f>
        <v/>
      </c>
      <c r="K267" s="107" t="n"/>
    </row>
    <row r="268">
      <c r="B268" s="132" t="n"/>
      <c r="C268" s="107" t="n"/>
      <c r="D268" s="107" t="n"/>
      <c r="E268" s="107" t="n"/>
      <c r="F268" s="107" t="n"/>
      <c r="G268" s="133" t="n"/>
      <c r="H268" s="115">
        <f>IF(N($G268)=0,"",IF($F268="Tarjeta Citi",CFG_CITI,0))</f>
        <v/>
      </c>
      <c r="I268" s="112">
        <f>IF(N($G268)=0,"",$G268*$H268)</f>
        <v/>
      </c>
      <c r="J268" s="114">
        <f>IF(N($G268)=0,"",$G268+$I268)</f>
        <v/>
      </c>
      <c r="K268" s="107" t="n"/>
    </row>
    <row r="269">
      <c r="B269" s="132" t="n"/>
      <c r="C269" s="107" t="n"/>
      <c r="D269" s="107" t="n"/>
      <c r="E269" s="107" t="n"/>
      <c r="F269" s="107" t="n"/>
      <c r="G269" s="133" t="n"/>
      <c r="H269" s="115">
        <f>IF(N($G269)=0,"",IF($F269="Tarjeta Citi",CFG_CITI,0))</f>
        <v/>
      </c>
      <c r="I269" s="112">
        <f>IF(N($G269)=0,"",$G269*$H269)</f>
        <v/>
      </c>
      <c r="J269" s="114">
        <f>IF(N($G269)=0,"",$G269+$I269)</f>
        <v/>
      </c>
      <c r="K269" s="107" t="n"/>
    </row>
    <row r="270">
      <c r="B270" s="132" t="n"/>
      <c r="C270" s="107" t="n"/>
      <c r="D270" s="107" t="n"/>
      <c r="E270" s="107" t="n"/>
      <c r="F270" s="107" t="n"/>
      <c r="G270" s="133" t="n"/>
      <c r="H270" s="115">
        <f>IF(N($G270)=0,"",IF($F270="Tarjeta Citi",CFG_CITI,0))</f>
        <v/>
      </c>
      <c r="I270" s="112">
        <f>IF(N($G270)=0,"",$G270*$H270)</f>
        <v/>
      </c>
      <c r="J270" s="114">
        <f>IF(N($G270)=0,"",$G270+$I270)</f>
        <v/>
      </c>
      <c r="K270" s="107" t="n"/>
    </row>
    <row r="271">
      <c r="B271" s="132" t="n"/>
      <c r="C271" s="107" t="n"/>
      <c r="D271" s="107" t="n"/>
      <c r="E271" s="107" t="n"/>
      <c r="F271" s="107" t="n"/>
      <c r="G271" s="133" t="n"/>
      <c r="H271" s="115">
        <f>IF(N($G271)=0,"",IF($F271="Tarjeta Citi",CFG_CITI,0))</f>
        <v/>
      </c>
      <c r="I271" s="112">
        <f>IF(N($G271)=0,"",$G271*$H271)</f>
        <v/>
      </c>
      <c r="J271" s="114">
        <f>IF(N($G271)=0,"",$G271+$I271)</f>
        <v/>
      </c>
      <c r="K271" s="107" t="n"/>
    </row>
    <row r="272">
      <c r="B272" s="132" t="n"/>
      <c r="C272" s="107" t="n"/>
      <c r="D272" s="107" t="n"/>
      <c r="E272" s="107" t="n"/>
      <c r="F272" s="107" t="n"/>
      <c r="G272" s="133" t="n"/>
      <c r="H272" s="115">
        <f>IF(N($G272)=0,"",IF($F272="Tarjeta Citi",CFG_CITI,0))</f>
        <v/>
      </c>
      <c r="I272" s="112">
        <f>IF(N($G272)=0,"",$G272*$H272)</f>
        <v/>
      </c>
      <c r="J272" s="114">
        <f>IF(N($G272)=0,"",$G272+$I272)</f>
        <v/>
      </c>
      <c r="K272" s="107" t="n"/>
    </row>
    <row r="273">
      <c r="B273" s="132" t="n"/>
      <c r="C273" s="107" t="n"/>
      <c r="D273" s="107" t="n"/>
      <c r="E273" s="107" t="n"/>
      <c r="F273" s="107" t="n"/>
      <c r="G273" s="133" t="n"/>
      <c r="H273" s="115">
        <f>IF(N($G273)=0,"",IF($F273="Tarjeta Citi",CFG_CITI,0))</f>
        <v/>
      </c>
      <c r="I273" s="112">
        <f>IF(N($G273)=0,"",$G273*$H273)</f>
        <v/>
      </c>
      <c r="J273" s="114">
        <f>IF(N($G273)=0,"",$G273+$I273)</f>
        <v/>
      </c>
      <c r="K273" s="107" t="n"/>
    </row>
    <row r="274">
      <c r="B274" s="132" t="n"/>
      <c r="C274" s="107" t="n"/>
      <c r="D274" s="107" t="n"/>
      <c r="E274" s="107" t="n"/>
      <c r="F274" s="107" t="n"/>
      <c r="G274" s="133" t="n"/>
      <c r="H274" s="115">
        <f>IF(N($G274)=0,"",IF($F274="Tarjeta Citi",CFG_CITI,0))</f>
        <v/>
      </c>
      <c r="I274" s="112">
        <f>IF(N($G274)=0,"",$G274*$H274)</f>
        <v/>
      </c>
      <c r="J274" s="114">
        <f>IF(N($G274)=0,"",$G274+$I274)</f>
        <v/>
      </c>
      <c r="K274" s="107" t="n"/>
    </row>
    <row r="275">
      <c r="B275" s="132" t="n"/>
      <c r="C275" s="107" t="n"/>
      <c r="D275" s="107" t="n"/>
      <c r="E275" s="107" t="n"/>
      <c r="F275" s="107" t="n"/>
      <c r="G275" s="133" t="n"/>
      <c r="H275" s="115">
        <f>IF(N($G275)=0,"",IF($F275="Tarjeta Citi",CFG_CITI,0))</f>
        <v/>
      </c>
      <c r="I275" s="112">
        <f>IF(N($G275)=0,"",$G275*$H275)</f>
        <v/>
      </c>
      <c r="J275" s="114">
        <f>IF(N($G275)=0,"",$G275+$I275)</f>
        <v/>
      </c>
      <c r="K275" s="107" t="n"/>
    </row>
    <row r="276">
      <c r="B276" s="132" t="n"/>
      <c r="C276" s="107" t="n"/>
      <c r="D276" s="107" t="n"/>
      <c r="E276" s="107" t="n"/>
      <c r="F276" s="107" t="n"/>
      <c r="G276" s="133" t="n"/>
      <c r="H276" s="115">
        <f>IF(N($G276)=0,"",IF($F276="Tarjeta Citi",CFG_CITI,0))</f>
        <v/>
      </c>
      <c r="I276" s="112">
        <f>IF(N($G276)=0,"",$G276*$H276)</f>
        <v/>
      </c>
      <c r="J276" s="114">
        <f>IF(N($G276)=0,"",$G276+$I276)</f>
        <v/>
      </c>
      <c r="K276" s="107" t="n"/>
    </row>
    <row r="277">
      <c r="B277" s="132" t="n"/>
      <c r="C277" s="107" t="n"/>
      <c r="D277" s="107" t="n"/>
      <c r="E277" s="107" t="n"/>
      <c r="F277" s="107" t="n"/>
      <c r="G277" s="133" t="n"/>
      <c r="H277" s="115">
        <f>IF(N($G277)=0,"",IF($F277="Tarjeta Citi",CFG_CITI,0))</f>
        <v/>
      </c>
      <c r="I277" s="112">
        <f>IF(N($G277)=0,"",$G277*$H277)</f>
        <v/>
      </c>
      <c r="J277" s="114">
        <f>IF(N($G277)=0,"",$G277+$I277)</f>
        <v/>
      </c>
      <c r="K277" s="107" t="n"/>
    </row>
    <row r="278">
      <c r="B278" s="132" t="n"/>
      <c r="C278" s="107" t="n"/>
      <c r="D278" s="107" t="n"/>
      <c r="E278" s="107" t="n"/>
      <c r="F278" s="107" t="n"/>
      <c r="G278" s="133" t="n"/>
      <c r="H278" s="115">
        <f>IF(N($G278)=0,"",IF($F278="Tarjeta Citi",CFG_CITI,0))</f>
        <v/>
      </c>
      <c r="I278" s="112">
        <f>IF(N($G278)=0,"",$G278*$H278)</f>
        <v/>
      </c>
      <c r="J278" s="114">
        <f>IF(N($G278)=0,"",$G278+$I278)</f>
        <v/>
      </c>
      <c r="K278" s="107" t="n"/>
    </row>
    <row r="279">
      <c r="B279" s="132" t="n"/>
      <c r="C279" s="107" t="n"/>
      <c r="D279" s="107" t="n"/>
      <c r="E279" s="107" t="n"/>
      <c r="F279" s="107" t="n"/>
      <c r="G279" s="133" t="n"/>
      <c r="H279" s="115">
        <f>IF(N($G279)=0,"",IF($F279="Tarjeta Citi",CFG_CITI,0))</f>
        <v/>
      </c>
      <c r="I279" s="112">
        <f>IF(N($G279)=0,"",$G279*$H279)</f>
        <v/>
      </c>
      <c r="J279" s="114">
        <f>IF(N($G279)=0,"",$G279+$I279)</f>
        <v/>
      </c>
      <c r="K279" s="107" t="n"/>
    </row>
    <row r="280">
      <c r="B280" s="132" t="n"/>
      <c r="C280" s="107" t="n"/>
      <c r="D280" s="107" t="n"/>
      <c r="E280" s="107" t="n"/>
      <c r="F280" s="107" t="n"/>
      <c r="G280" s="133" t="n"/>
      <c r="H280" s="115">
        <f>IF(N($G280)=0,"",IF($F280="Tarjeta Citi",CFG_CITI,0))</f>
        <v/>
      </c>
      <c r="I280" s="112">
        <f>IF(N($G280)=0,"",$G280*$H280)</f>
        <v/>
      </c>
      <c r="J280" s="114">
        <f>IF(N($G280)=0,"",$G280+$I280)</f>
        <v/>
      </c>
      <c r="K280" s="107" t="n"/>
    </row>
    <row r="281">
      <c r="B281" s="132" t="n"/>
      <c r="C281" s="107" t="n"/>
      <c r="D281" s="107" t="n"/>
      <c r="E281" s="107" t="n"/>
      <c r="F281" s="107" t="n"/>
      <c r="G281" s="133" t="n"/>
      <c r="H281" s="115">
        <f>IF(N($G281)=0,"",IF($F281="Tarjeta Citi",CFG_CITI,0))</f>
        <v/>
      </c>
      <c r="I281" s="112">
        <f>IF(N($G281)=0,"",$G281*$H281)</f>
        <v/>
      </c>
      <c r="J281" s="114">
        <f>IF(N($G281)=0,"",$G281+$I281)</f>
        <v/>
      </c>
      <c r="K281" s="107" t="n"/>
    </row>
    <row r="282">
      <c r="B282" s="132" t="n"/>
      <c r="C282" s="107" t="n"/>
      <c r="D282" s="107" t="n"/>
      <c r="E282" s="107" t="n"/>
      <c r="F282" s="107" t="n"/>
      <c r="G282" s="133" t="n"/>
      <c r="H282" s="115">
        <f>IF(N($G282)=0,"",IF($F282="Tarjeta Citi",CFG_CITI,0))</f>
        <v/>
      </c>
      <c r="I282" s="112">
        <f>IF(N($G282)=0,"",$G282*$H282)</f>
        <v/>
      </c>
      <c r="J282" s="114">
        <f>IF(N($G282)=0,"",$G282+$I282)</f>
        <v/>
      </c>
      <c r="K282" s="107" t="n"/>
    </row>
    <row r="283">
      <c r="B283" s="132" t="n"/>
      <c r="C283" s="107" t="n"/>
      <c r="D283" s="107" t="n"/>
      <c r="E283" s="107" t="n"/>
      <c r="F283" s="107" t="n"/>
      <c r="G283" s="133" t="n"/>
      <c r="H283" s="115">
        <f>IF(N($G283)=0,"",IF($F283="Tarjeta Citi",CFG_CITI,0))</f>
        <v/>
      </c>
      <c r="I283" s="112">
        <f>IF(N($G283)=0,"",$G283*$H283)</f>
        <v/>
      </c>
      <c r="J283" s="114">
        <f>IF(N($G283)=0,"",$G283+$I283)</f>
        <v/>
      </c>
      <c r="K283" s="107" t="n"/>
    </row>
    <row r="284">
      <c r="B284" s="132" t="n"/>
      <c r="C284" s="107" t="n"/>
      <c r="D284" s="107" t="n"/>
      <c r="E284" s="107" t="n"/>
      <c r="F284" s="107" t="n"/>
      <c r="G284" s="133" t="n"/>
      <c r="H284" s="115">
        <f>IF(N($G284)=0,"",IF($F284="Tarjeta Citi",CFG_CITI,0))</f>
        <v/>
      </c>
      <c r="I284" s="112">
        <f>IF(N($G284)=0,"",$G284*$H284)</f>
        <v/>
      </c>
      <c r="J284" s="114">
        <f>IF(N($G284)=0,"",$G284+$I284)</f>
        <v/>
      </c>
      <c r="K284" s="107" t="n"/>
    </row>
    <row r="285">
      <c r="B285" s="132" t="n"/>
      <c r="C285" s="107" t="n"/>
      <c r="D285" s="107" t="n"/>
      <c r="E285" s="107" t="n"/>
      <c r="F285" s="107" t="n"/>
      <c r="G285" s="133" t="n"/>
      <c r="H285" s="115">
        <f>IF(N($G285)=0,"",IF($F285="Tarjeta Citi",CFG_CITI,0))</f>
        <v/>
      </c>
      <c r="I285" s="112">
        <f>IF(N($G285)=0,"",$G285*$H285)</f>
        <v/>
      </c>
      <c r="J285" s="114">
        <f>IF(N($G285)=0,"",$G285+$I285)</f>
        <v/>
      </c>
      <c r="K285" s="107" t="n"/>
    </row>
    <row r="286">
      <c r="B286" s="132" t="n"/>
      <c r="C286" s="107" t="n"/>
      <c r="D286" s="107" t="n"/>
      <c r="E286" s="107" t="n"/>
      <c r="F286" s="107" t="n"/>
      <c r="G286" s="133" t="n"/>
      <c r="H286" s="115">
        <f>IF(N($G286)=0,"",IF($F286="Tarjeta Citi",CFG_CITI,0))</f>
        <v/>
      </c>
      <c r="I286" s="112">
        <f>IF(N($G286)=0,"",$G286*$H286)</f>
        <v/>
      </c>
      <c r="J286" s="114">
        <f>IF(N($G286)=0,"",$G286+$I286)</f>
        <v/>
      </c>
      <c r="K286" s="107" t="n"/>
    </row>
    <row r="287">
      <c r="B287" s="132" t="n"/>
      <c r="C287" s="107" t="n"/>
      <c r="D287" s="107" t="n"/>
      <c r="E287" s="107" t="n"/>
      <c r="F287" s="107" t="n"/>
      <c r="G287" s="133" t="n"/>
      <c r="H287" s="115">
        <f>IF(N($G287)=0,"",IF($F287="Tarjeta Citi",CFG_CITI,0))</f>
        <v/>
      </c>
      <c r="I287" s="112">
        <f>IF(N($G287)=0,"",$G287*$H287)</f>
        <v/>
      </c>
      <c r="J287" s="114">
        <f>IF(N($G287)=0,"",$G287+$I287)</f>
        <v/>
      </c>
      <c r="K287" s="107" t="n"/>
    </row>
    <row r="288">
      <c r="B288" s="132" t="n"/>
      <c r="C288" s="107" t="n"/>
      <c r="D288" s="107" t="n"/>
      <c r="E288" s="107" t="n"/>
      <c r="F288" s="107" t="n"/>
      <c r="G288" s="133" t="n"/>
      <c r="H288" s="115">
        <f>IF(N($G288)=0,"",IF($F288="Tarjeta Citi",CFG_CITI,0))</f>
        <v/>
      </c>
      <c r="I288" s="112">
        <f>IF(N($G288)=0,"",$G288*$H288)</f>
        <v/>
      </c>
      <c r="J288" s="114">
        <f>IF(N($G288)=0,"",$G288+$I288)</f>
        <v/>
      </c>
      <c r="K288" s="107" t="n"/>
    </row>
    <row r="289">
      <c r="B289" s="132" t="n"/>
      <c r="C289" s="107" t="n"/>
      <c r="D289" s="107" t="n"/>
      <c r="E289" s="107" t="n"/>
      <c r="F289" s="107" t="n"/>
      <c r="G289" s="133" t="n"/>
      <c r="H289" s="115">
        <f>IF(N($G289)=0,"",IF($F289="Tarjeta Citi",CFG_CITI,0))</f>
        <v/>
      </c>
      <c r="I289" s="112">
        <f>IF(N($G289)=0,"",$G289*$H289)</f>
        <v/>
      </c>
      <c r="J289" s="114">
        <f>IF(N($G289)=0,"",$G289+$I289)</f>
        <v/>
      </c>
      <c r="K289" s="107" t="n"/>
    </row>
    <row r="290">
      <c r="B290" s="132" t="n"/>
      <c r="C290" s="107" t="n"/>
      <c r="D290" s="107" t="n"/>
      <c r="E290" s="107" t="n"/>
      <c r="F290" s="107" t="n"/>
      <c r="G290" s="133" t="n"/>
      <c r="H290" s="115">
        <f>IF(N($G290)=0,"",IF($F290="Tarjeta Citi",CFG_CITI,0))</f>
        <v/>
      </c>
      <c r="I290" s="112">
        <f>IF(N($G290)=0,"",$G290*$H290)</f>
        <v/>
      </c>
      <c r="J290" s="114">
        <f>IF(N($G290)=0,"",$G290+$I290)</f>
        <v/>
      </c>
      <c r="K290" s="107" t="n"/>
    </row>
    <row r="291">
      <c r="B291" s="132" t="n"/>
      <c r="C291" s="107" t="n"/>
      <c r="D291" s="107" t="n"/>
      <c r="E291" s="107" t="n"/>
      <c r="F291" s="107" t="n"/>
      <c r="G291" s="133" t="n"/>
      <c r="H291" s="115">
        <f>IF(N($G291)=0,"",IF($F291="Tarjeta Citi",CFG_CITI,0))</f>
        <v/>
      </c>
      <c r="I291" s="112">
        <f>IF(N($G291)=0,"",$G291*$H291)</f>
        <v/>
      </c>
      <c r="J291" s="114">
        <f>IF(N($G291)=0,"",$G291+$I291)</f>
        <v/>
      </c>
      <c r="K291" s="107" t="n"/>
    </row>
    <row r="292">
      <c r="B292" s="132" t="n"/>
      <c r="C292" s="107" t="n"/>
      <c r="D292" s="107" t="n"/>
      <c r="E292" s="107" t="n"/>
      <c r="F292" s="107" t="n"/>
      <c r="G292" s="133" t="n"/>
      <c r="H292" s="115">
        <f>IF(N($G292)=0,"",IF($F292="Tarjeta Citi",CFG_CITI,0))</f>
        <v/>
      </c>
      <c r="I292" s="112">
        <f>IF(N($G292)=0,"",$G292*$H292)</f>
        <v/>
      </c>
      <c r="J292" s="114">
        <f>IF(N($G292)=0,"",$G292+$I292)</f>
        <v/>
      </c>
      <c r="K292" s="107" t="n"/>
    </row>
    <row r="293">
      <c r="B293" s="132" t="n"/>
      <c r="C293" s="107" t="n"/>
      <c r="D293" s="107" t="n"/>
      <c r="E293" s="107" t="n"/>
      <c r="F293" s="107" t="n"/>
      <c r="G293" s="133" t="n"/>
      <c r="H293" s="115">
        <f>IF(N($G293)=0,"",IF($F293="Tarjeta Citi",CFG_CITI,0))</f>
        <v/>
      </c>
      <c r="I293" s="112">
        <f>IF(N($G293)=0,"",$G293*$H293)</f>
        <v/>
      </c>
      <c r="J293" s="114">
        <f>IF(N($G293)=0,"",$G293+$I293)</f>
        <v/>
      </c>
      <c r="K293" s="107" t="n"/>
    </row>
    <row r="294">
      <c r="B294" s="132" t="n"/>
      <c r="C294" s="107" t="n"/>
      <c r="D294" s="107" t="n"/>
      <c r="E294" s="107" t="n"/>
      <c r="F294" s="107" t="n"/>
      <c r="G294" s="133" t="n"/>
      <c r="H294" s="115">
        <f>IF(N($G294)=0,"",IF($F294="Tarjeta Citi",CFG_CITI,0))</f>
        <v/>
      </c>
      <c r="I294" s="112">
        <f>IF(N($G294)=0,"",$G294*$H294)</f>
        <v/>
      </c>
      <c r="J294" s="114">
        <f>IF(N($G294)=0,"",$G294+$I294)</f>
        <v/>
      </c>
      <c r="K294" s="107" t="n"/>
    </row>
    <row r="295">
      <c r="B295" s="132" t="n"/>
      <c r="C295" s="107" t="n"/>
      <c r="D295" s="107" t="n"/>
      <c r="E295" s="107" t="n"/>
      <c r="F295" s="107" t="n"/>
      <c r="G295" s="133" t="n"/>
      <c r="H295" s="115">
        <f>IF(N($G295)=0,"",IF($F295="Tarjeta Citi",CFG_CITI,0))</f>
        <v/>
      </c>
      <c r="I295" s="112">
        <f>IF(N($G295)=0,"",$G295*$H295)</f>
        <v/>
      </c>
      <c r="J295" s="114">
        <f>IF(N($G295)=0,"",$G295+$I295)</f>
        <v/>
      </c>
      <c r="K295" s="107" t="n"/>
    </row>
    <row r="296">
      <c r="B296" s="132" t="n"/>
      <c r="C296" s="107" t="n"/>
      <c r="D296" s="107" t="n"/>
      <c r="E296" s="107" t="n"/>
      <c r="F296" s="107" t="n"/>
      <c r="G296" s="133" t="n"/>
      <c r="H296" s="115">
        <f>IF(N($G296)=0,"",IF($F296="Tarjeta Citi",CFG_CITI,0))</f>
        <v/>
      </c>
      <c r="I296" s="112">
        <f>IF(N($G296)=0,"",$G296*$H296)</f>
        <v/>
      </c>
      <c r="J296" s="114">
        <f>IF(N($G296)=0,"",$G296+$I296)</f>
        <v/>
      </c>
      <c r="K296" s="107" t="n"/>
    </row>
    <row r="297">
      <c r="B297" s="132" t="n"/>
      <c r="C297" s="107" t="n"/>
      <c r="D297" s="107" t="n"/>
      <c r="E297" s="107" t="n"/>
      <c r="F297" s="107" t="n"/>
      <c r="G297" s="133" t="n"/>
      <c r="H297" s="115">
        <f>IF(N($G297)=0,"",IF($F297="Tarjeta Citi",CFG_CITI,0))</f>
        <v/>
      </c>
      <c r="I297" s="112">
        <f>IF(N($G297)=0,"",$G297*$H297)</f>
        <v/>
      </c>
      <c r="J297" s="114">
        <f>IF(N($G297)=0,"",$G297+$I297)</f>
        <v/>
      </c>
      <c r="K297" s="107" t="n"/>
    </row>
    <row r="298">
      <c r="B298" s="132" t="n"/>
      <c r="C298" s="107" t="n"/>
      <c r="D298" s="107" t="n"/>
      <c r="E298" s="107" t="n"/>
      <c r="F298" s="107" t="n"/>
      <c r="G298" s="133" t="n"/>
      <c r="H298" s="115">
        <f>IF(N($G298)=0,"",IF($F298="Tarjeta Citi",CFG_CITI,0))</f>
        <v/>
      </c>
      <c r="I298" s="112">
        <f>IF(N($G298)=0,"",$G298*$H298)</f>
        <v/>
      </c>
      <c r="J298" s="114">
        <f>IF(N($G298)=0,"",$G298+$I298)</f>
        <v/>
      </c>
      <c r="K298" s="107" t="n"/>
    </row>
    <row r="299">
      <c r="B299" s="132" t="n"/>
      <c r="C299" s="107" t="n"/>
      <c r="D299" s="107" t="n"/>
      <c r="E299" s="107" t="n"/>
      <c r="F299" s="107" t="n"/>
      <c r="G299" s="133" t="n"/>
      <c r="H299" s="115">
        <f>IF(N($G299)=0,"",IF($F299="Tarjeta Citi",CFG_CITI,0))</f>
        <v/>
      </c>
      <c r="I299" s="112">
        <f>IF(N($G299)=0,"",$G299*$H299)</f>
        <v/>
      </c>
      <c r="J299" s="114">
        <f>IF(N($G299)=0,"",$G299+$I299)</f>
        <v/>
      </c>
      <c r="K299" s="107" t="n"/>
    </row>
    <row r="300">
      <c r="B300" s="132" t="n"/>
      <c r="C300" s="107" t="n"/>
      <c r="D300" s="107" t="n"/>
      <c r="E300" s="107" t="n"/>
      <c r="F300" s="107" t="n"/>
      <c r="G300" s="133" t="n"/>
      <c r="H300" s="115">
        <f>IF(N($G300)=0,"",IF($F300="Tarjeta Citi",CFG_CITI,0))</f>
        <v/>
      </c>
      <c r="I300" s="112">
        <f>IF(N($G300)=0,"",$G300*$H300)</f>
        <v/>
      </c>
      <c r="J300" s="114">
        <f>IF(N($G300)=0,"",$G300+$I300)</f>
        <v/>
      </c>
      <c r="K300" s="107" t="n"/>
    </row>
    <row r="301">
      <c r="B301" s="132" t="n"/>
      <c r="C301" s="107" t="n"/>
      <c r="D301" s="107" t="n"/>
      <c r="E301" s="107" t="n"/>
      <c r="F301" s="107" t="n"/>
      <c r="G301" s="133" t="n"/>
      <c r="H301" s="115">
        <f>IF(N($G301)=0,"",IF($F301="Tarjeta Citi",CFG_CITI,0))</f>
        <v/>
      </c>
      <c r="I301" s="112">
        <f>IF(N($G301)=0,"",$G301*$H301)</f>
        <v/>
      </c>
      <c r="J301" s="114">
        <f>IF(N($G301)=0,"",$G301+$I301)</f>
        <v/>
      </c>
      <c r="K301" s="107" t="n"/>
    </row>
    <row r="302">
      <c r="B302" s="132" t="n"/>
      <c r="C302" s="107" t="n"/>
      <c r="D302" s="107" t="n"/>
      <c r="E302" s="107" t="n"/>
      <c r="F302" s="107" t="n"/>
      <c r="G302" s="133" t="n"/>
      <c r="H302" s="115">
        <f>IF(N($G302)=0,"",IF($F302="Tarjeta Citi",CFG_CITI,0))</f>
        <v/>
      </c>
      <c r="I302" s="112">
        <f>IF(N($G302)=0,"",$G302*$H302)</f>
        <v/>
      </c>
      <c r="J302" s="114">
        <f>IF(N($G302)=0,"",$G302+$I302)</f>
        <v/>
      </c>
      <c r="K302" s="107" t="n"/>
    </row>
    <row r="303">
      <c r="B303" s="132" t="n"/>
      <c r="C303" s="107" t="n"/>
      <c r="D303" s="107" t="n"/>
      <c r="E303" s="107" t="n"/>
      <c r="F303" s="107" t="n"/>
      <c r="G303" s="133" t="n"/>
      <c r="H303" s="115">
        <f>IF(N($G303)=0,"",IF($F303="Tarjeta Citi",CFG_CITI,0))</f>
        <v/>
      </c>
      <c r="I303" s="112">
        <f>IF(N($G303)=0,"",$G303*$H303)</f>
        <v/>
      </c>
      <c r="J303" s="114">
        <f>IF(N($G303)=0,"",$G303+$I303)</f>
        <v/>
      </c>
      <c r="K303" s="107" t="n"/>
    </row>
    <row r="304">
      <c r="B304" s="132" t="n"/>
      <c r="C304" s="107" t="n"/>
      <c r="D304" s="107" t="n"/>
      <c r="E304" s="107" t="n"/>
      <c r="F304" s="107" t="n"/>
      <c r="G304" s="133" t="n"/>
      <c r="H304" s="115">
        <f>IF(N($G304)=0,"",IF($F304="Tarjeta Citi",CFG_CITI,0))</f>
        <v/>
      </c>
      <c r="I304" s="112">
        <f>IF(N($G304)=0,"",$G304*$H304)</f>
        <v/>
      </c>
      <c r="J304" s="114">
        <f>IF(N($G304)=0,"",$G304+$I304)</f>
        <v/>
      </c>
      <c r="K304" s="107" t="n"/>
    </row>
    <row r="305">
      <c r="B305" s="132" t="n"/>
      <c r="C305" s="107" t="n"/>
      <c r="D305" s="107" t="n"/>
      <c r="E305" s="107" t="n"/>
      <c r="F305" s="107" t="n"/>
      <c r="G305" s="133" t="n"/>
      <c r="H305" s="115">
        <f>IF(N($G305)=0,"",IF($F305="Tarjeta Citi",CFG_CITI,0))</f>
        <v/>
      </c>
      <c r="I305" s="112">
        <f>IF(N($G305)=0,"",$G305*$H305)</f>
        <v/>
      </c>
      <c r="J305" s="114">
        <f>IF(N($G305)=0,"",$G305+$I305)</f>
        <v/>
      </c>
      <c r="K305" s="107" t="n"/>
    </row>
    <row r="306">
      <c r="B306" s="123" t="inlineStr">
        <is>
          <t>TOTAL</t>
        </is>
      </c>
      <c r="C306" s="123" t="n"/>
      <c r="D306" s="123" t="n"/>
      <c r="E306" s="123" t="n"/>
      <c r="F306" s="123" t="n"/>
      <c r="G306" s="123">
        <f>SUM(G6:G305)</f>
        <v/>
      </c>
      <c r="H306" s="123" t="n"/>
      <c r="I306" s="123">
        <f>SUM(I6:I305)</f>
        <v/>
      </c>
      <c r="J306" s="123">
        <f>SUM(J6:J305)</f>
        <v/>
      </c>
      <c r="K306" s="123" t="n"/>
    </row>
  </sheetData>
  <autoFilter ref="B5:K305"/>
  <dataValidations count="2">
    <dataValidation sqref="C6:C305" showDropDown="0" showInputMessage="0" showErrorMessage="0" allowBlank="1" type="list">
      <formula1>=LST_CATEGORIAS</formula1>
    </dataValidation>
    <dataValidation sqref="F6:F305" showDropDown="0" showInputMessage="0" showErrorMessage="0" allowBlank="1" type="list">
      <formula1>=LST_PAGO_GASTO</formula1>
    </dataValidation>
  </dataValidations>
  <printOptions horizontalCentered="1"/>
  <pageMargins left="0.4" right="0.4" top="1" bottom="1" header="0.5" footer="0.5"/>
  <pageSetup orientation="landscape" fitToHeight="0" fitToWidth="1"/>
  <headerFooter>
    <oddHeader/>
    <oddFooter>&amp;C&amp;8 COTIMIX · Sistema de control financiero · 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0071CE"/>
    <outlinePr summaryBelow="1" summaryRight="1"/>
    <pageSetUpPr fitToPage="1"/>
  </sheetPr>
  <dimension ref="A1:H321"/>
  <sheetViews>
    <sheetView showGridLines="0" zoomScale="90"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2.5" customWidth="1" min="1" max="1"/>
    <col width="12" customWidth="1" min="2" max="2"/>
    <col width="26" customWidth="1" min="3" max="3"/>
    <col width="36" customWidth="1" min="4" max="4"/>
    <col width="16" customWidth="1" min="5" max="5"/>
    <col width="36" customWidth="1" min="6" max="6"/>
  </cols>
  <sheetData>
    <row r="1" ht="34" customHeight="1">
      <c r="A1" s="1" t="n"/>
      <c r="B1" s="2" t="inlineStr">
        <is>
          <t>COTIMIX · CUENTA WALMART MARKETPLACE Y RESERVA</t>
        </is>
      </c>
      <c r="C1" s="1" t="n"/>
      <c r="D1" s="1" t="n"/>
      <c r="E1" s="1" t="n"/>
      <c r="F1" s="1" t="n"/>
      <c r="G1" s="1" t="n"/>
      <c r="H1" s="1" t="n"/>
    </row>
    <row r="2" ht="20" customHeight="1">
      <c r="A2" s="1" t="n"/>
      <c r="B2" s="3" t="inlineStr">
        <is>
          <t>Dinero de COTIMIX que está en Walmart: separa la RESERVA (no disponible) del saldo por liquidar.</t>
        </is>
      </c>
      <c r="C2" s="1" t="n"/>
      <c r="D2" s="1" t="n"/>
      <c r="E2" s="1" t="n"/>
      <c r="F2" s="1" t="n"/>
      <c r="G2" s="1" t="n"/>
      <c r="H2" s="1" t="n"/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</row>
    <row r="5" ht="20" customHeight="1">
      <c r="B5" s="134" t="inlineStr">
        <is>
          <t>A. RESERVA WALMART (dinero de COTIMIX, NO disponible)</t>
        </is>
      </c>
      <c r="C5" s="135" t="n"/>
      <c r="D5" s="135" t="n"/>
      <c r="E5" s="135" t="n"/>
    </row>
    <row r="6">
      <c r="B6" s="136" t="inlineStr">
        <is>
          <t>Reserva al inicio (CONFIG)</t>
        </is>
      </c>
      <c r="C6" s="136" t="n"/>
      <c r="D6" s="136" t="n"/>
      <c r="E6" s="137">
        <f>CFG_RESERVA</f>
        <v/>
      </c>
    </row>
    <row r="7">
      <c r="B7" s="136" t="inlineStr">
        <is>
          <t>(+) Retenciones enviadas a reserva</t>
        </is>
      </c>
      <c r="C7" s="136" t="n"/>
      <c r="D7" s="136" t="n"/>
      <c r="E7" s="138">
        <f>SUMIFS(WALMART!$E$22:$E$321,WALMART!$C$22:$C$321,"Retención a reserva")</f>
        <v/>
      </c>
    </row>
    <row r="8">
      <c r="B8" s="136" t="inlineStr">
        <is>
          <t>(−) Liberaciones de reserva</t>
        </is>
      </c>
      <c r="C8" s="136" t="n"/>
      <c r="D8" s="136" t="n"/>
      <c r="E8" s="138">
        <f>-SUMIFS(WALMART!$E$22:$E$321,WALMART!$C$22:$C$321,"Liberación de reserva")</f>
        <v/>
      </c>
    </row>
    <row r="9">
      <c r="B9" s="139" t="inlineStr">
        <is>
          <t>SALDO EN RESERVA (no disponible)</t>
        </is>
      </c>
      <c r="C9" s="139" t="n"/>
      <c r="D9" s="139" t="n"/>
      <c r="E9" s="140">
        <f>SUM(E6:E8)</f>
        <v/>
      </c>
    </row>
    <row r="11" ht="20" customHeight="1">
      <c r="B11" s="134" t="inlineStr">
        <is>
          <t>B. SALDO TOTAL A FAVOR EN WALMART</t>
        </is>
      </c>
      <c r="C11" s="135" t="n"/>
      <c r="D11" s="135" t="n"/>
      <c r="E11" s="135" t="n"/>
    </row>
    <row r="12">
      <c r="B12" s="136" t="inlineStr">
        <is>
          <t>Reserva al inicio (CONFIG)</t>
        </is>
      </c>
      <c r="C12" s="136" t="n"/>
      <c r="D12" s="136" t="n"/>
      <c r="E12" s="138">
        <f>CFG_RESERVA</f>
        <v/>
      </c>
    </row>
    <row r="13">
      <c r="B13" s="136" t="inlineStr">
        <is>
          <t>(+) Ingresos netos de ventas</t>
        </is>
      </c>
      <c r="C13" s="136" t="n"/>
      <c r="D13" s="136" t="n"/>
      <c r="E13" s="138">
        <f>SUM(VENTAS!$M$6:$M$505)</f>
        <v/>
      </c>
      <c r="F13" s="141" t="inlineStr">
        <is>
          <t>Venta bruta − comisión − cargos (hoja VENTAS)</t>
        </is>
      </c>
    </row>
    <row r="14">
      <c r="B14" s="136" t="inlineStr">
        <is>
          <t>(−) Depósitos recibidos en banco</t>
        </is>
      </c>
      <c r="C14" s="136" t="n"/>
      <c r="D14" s="136" t="n"/>
      <c r="E14" s="138">
        <f>-SUMIFS(WALMART!$E$22:$E$321,WALMART!$C$22:$C$321,"Depósito a banco")</f>
        <v/>
      </c>
    </row>
    <row r="15">
      <c r="B15" s="136" t="inlineStr">
        <is>
          <t>(−) Cargos descontados por Walmart</t>
        </is>
      </c>
      <c r="C15" s="136" t="n"/>
      <c r="D15" s="136" t="n"/>
      <c r="E15" s="138">
        <f>-SUMIFS(GASTOS!$J$6:$J$305,GASTOS!$F$6:$F$305,"Descontado por Walmart")</f>
        <v/>
      </c>
      <c r="F15" s="141" t="inlineStr">
        <is>
          <t>Desde hoja GASTOS</t>
        </is>
      </c>
    </row>
    <row r="16">
      <c r="B16" s="139" t="inlineStr">
        <is>
          <t>SALDO TOTAL A FAVOR EN WALMART</t>
        </is>
      </c>
      <c r="C16" s="139" t="n"/>
      <c r="D16" s="139" t="n"/>
      <c r="E16" s="140">
        <f>SUM(E12:E15)</f>
        <v/>
      </c>
    </row>
    <row r="17">
      <c r="B17" s="142" t="inlineStr">
        <is>
          <t xml:space="preserve">   de los cuales: en reserva (no disponible)</t>
        </is>
      </c>
      <c r="C17" s="142" t="n"/>
      <c r="D17" s="142" t="n"/>
      <c r="E17" s="143">
        <f>E9</f>
        <v/>
      </c>
    </row>
    <row r="18">
      <c r="B18" s="142" t="inlineStr">
        <is>
          <t xml:space="preserve">   de los cuales: por liquidar (próximo depósito)</t>
        </is>
      </c>
      <c r="C18" s="142" t="n"/>
      <c r="D18" s="142" t="n"/>
      <c r="E18" s="143">
        <f>E16-E17</f>
        <v/>
      </c>
    </row>
    <row r="20">
      <c r="B20" s="144" t="inlineStr">
        <is>
          <t>MOVIMIENTOS · capture aquí retenciones, liberaciones y depósitos que Walmart envía a su banco (montos siempre positivos)</t>
        </is>
      </c>
    </row>
    <row r="21" ht="32" customHeight="1">
      <c r="B21" s="95" t="inlineStr">
        <is>
          <t>Fecha</t>
        </is>
      </c>
      <c r="C21" s="95" t="inlineStr">
        <is>
          <t>Tipo de movimiento</t>
        </is>
      </c>
      <c r="D21" s="95" t="inlineStr">
        <is>
          <t>Referencia / Descripción</t>
        </is>
      </c>
      <c r="E21" s="95" t="inlineStr">
        <is>
          <t>Monto (USD)</t>
        </is>
      </c>
      <c r="F21" s="95" t="inlineStr">
        <is>
          <t>Notas</t>
        </is>
      </c>
    </row>
    <row r="22">
      <c r="B22" s="132" t="n"/>
      <c r="C22" s="107" t="n"/>
      <c r="D22" s="107" t="n"/>
      <c r="E22" s="133" t="n"/>
      <c r="F22" s="107" t="n"/>
    </row>
    <row r="23">
      <c r="B23" s="132" t="n"/>
      <c r="C23" s="107" t="n"/>
      <c r="D23" s="107" t="n"/>
      <c r="E23" s="133" t="n"/>
      <c r="F23" s="107" t="n"/>
    </row>
    <row r="24">
      <c r="B24" s="132" t="n"/>
      <c r="C24" s="107" t="n"/>
      <c r="D24" s="107" t="n"/>
      <c r="E24" s="133" t="n"/>
      <c r="F24" s="107" t="n"/>
    </row>
    <row r="25">
      <c r="B25" s="132" t="n"/>
      <c r="C25" s="107" t="n"/>
      <c r="D25" s="107" t="n"/>
      <c r="E25" s="133" t="n"/>
      <c r="F25" s="107" t="n"/>
    </row>
    <row r="26">
      <c r="B26" s="132" t="n"/>
      <c r="C26" s="107" t="n"/>
      <c r="D26" s="107" t="n"/>
      <c r="E26" s="133" t="n"/>
      <c r="F26" s="107" t="n"/>
    </row>
    <row r="27">
      <c r="B27" s="132" t="n"/>
      <c r="C27" s="107" t="n"/>
      <c r="D27" s="107" t="n"/>
      <c r="E27" s="133" t="n"/>
      <c r="F27" s="107" t="n"/>
    </row>
    <row r="28">
      <c r="B28" s="132" t="n"/>
      <c r="C28" s="107" t="n"/>
      <c r="D28" s="107" t="n"/>
      <c r="E28" s="133" t="n"/>
      <c r="F28" s="107" t="n"/>
    </row>
    <row r="29">
      <c r="B29" s="132" t="n"/>
      <c r="C29" s="107" t="n"/>
      <c r="D29" s="107" t="n"/>
      <c r="E29" s="133" t="n"/>
      <c r="F29" s="107" t="n"/>
    </row>
    <row r="30">
      <c r="B30" s="132" t="n"/>
      <c r="C30" s="107" t="n"/>
      <c r="D30" s="107" t="n"/>
      <c r="E30" s="133" t="n"/>
      <c r="F30" s="107" t="n"/>
    </row>
    <row r="31">
      <c r="B31" s="132" t="n"/>
      <c r="C31" s="107" t="n"/>
      <c r="D31" s="107" t="n"/>
      <c r="E31" s="133" t="n"/>
      <c r="F31" s="107" t="n"/>
    </row>
    <row r="32">
      <c r="B32" s="132" t="n"/>
      <c r="C32" s="107" t="n"/>
      <c r="D32" s="107" t="n"/>
      <c r="E32" s="133" t="n"/>
      <c r="F32" s="107" t="n"/>
    </row>
    <row r="33">
      <c r="B33" s="132" t="n"/>
      <c r="C33" s="107" t="n"/>
      <c r="D33" s="107" t="n"/>
      <c r="E33" s="133" t="n"/>
      <c r="F33" s="107" t="n"/>
    </row>
    <row r="34">
      <c r="B34" s="132" t="n"/>
      <c r="C34" s="107" t="n"/>
      <c r="D34" s="107" t="n"/>
      <c r="E34" s="133" t="n"/>
      <c r="F34" s="107" t="n"/>
    </row>
    <row r="35">
      <c r="B35" s="132" t="n"/>
      <c r="C35" s="107" t="n"/>
      <c r="D35" s="107" t="n"/>
      <c r="E35" s="133" t="n"/>
      <c r="F35" s="107" t="n"/>
    </row>
    <row r="36">
      <c r="B36" s="132" t="n"/>
      <c r="C36" s="107" t="n"/>
      <c r="D36" s="107" t="n"/>
      <c r="E36" s="133" t="n"/>
      <c r="F36" s="107" t="n"/>
    </row>
    <row r="37">
      <c r="B37" s="132" t="n"/>
      <c r="C37" s="107" t="n"/>
      <c r="D37" s="107" t="n"/>
      <c r="E37" s="133" t="n"/>
      <c r="F37" s="107" t="n"/>
    </row>
    <row r="38">
      <c r="B38" s="132" t="n"/>
      <c r="C38" s="107" t="n"/>
      <c r="D38" s="107" t="n"/>
      <c r="E38" s="133" t="n"/>
      <c r="F38" s="107" t="n"/>
    </row>
    <row r="39">
      <c r="B39" s="132" t="n"/>
      <c r="C39" s="107" t="n"/>
      <c r="D39" s="107" t="n"/>
      <c r="E39" s="133" t="n"/>
      <c r="F39" s="107" t="n"/>
    </row>
    <row r="40">
      <c r="B40" s="132" t="n"/>
      <c r="C40" s="107" t="n"/>
      <c r="D40" s="107" t="n"/>
      <c r="E40" s="133" t="n"/>
      <c r="F40" s="107" t="n"/>
    </row>
    <row r="41">
      <c r="B41" s="132" t="n"/>
      <c r="C41" s="107" t="n"/>
      <c r="D41" s="107" t="n"/>
      <c r="E41" s="133" t="n"/>
      <c r="F41" s="107" t="n"/>
    </row>
    <row r="42">
      <c r="B42" s="132" t="n"/>
      <c r="C42" s="107" t="n"/>
      <c r="D42" s="107" t="n"/>
      <c r="E42" s="133" t="n"/>
      <c r="F42" s="107" t="n"/>
    </row>
    <row r="43">
      <c r="B43" s="132" t="n"/>
      <c r="C43" s="107" t="n"/>
      <c r="D43" s="107" t="n"/>
      <c r="E43" s="133" t="n"/>
      <c r="F43" s="107" t="n"/>
    </row>
    <row r="44">
      <c r="B44" s="132" t="n"/>
      <c r="C44" s="107" t="n"/>
      <c r="D44" s="107" t="n"/>
      <c r="E44" s="133" t="n"/>
      <c r="F44" s="107" t="n"/>
    </row>
    <row r="45">
      <c r="B45" s="132" t="n"/>
      <c r="C45" s="107" t="n"/>
      <c r="D45" s="107" t="n"/>
      <c r="E45" s="133" t="n"/>
      <c r="F45" s="107" t="n"/>
    </row>
    <row r="46">
      <c r="B46" s="132" t="n"/>
      <c r="C46" s="107" t="n"/>
      <c r="D46" s="107" t="n"/>
      <c r="E46" s="133" t="n"/>
      <c r="F46" s="107" t="n"/>
    </row>
    <row r="47">
      <c r="B47" s="132" t="n"/>
      <c r="C47" s="107" t="n"/>
      <c r="D47" s="107" t="n"/>
      <c r="E47" s="133" t="n"/>
      <c r="F47" s="107" t="n"/>
    </row>
    <row r="48">
      <c r="B48" s="132" t="n"/>
      <c r="C48" s="107" t="n"/>
      <c r="D48" s="107" t="n"/>
      <c r="E48" s="133" t="n"/>
      <c r="F48" s="107" t="n"/>
    </row>
    <row r="49">
      <c r="B49" s="132" t="n"/>
      <c r="C49" s="107" t="n"/>
      <c r="D49" s="107" t="n"/>
      <c r="E49" s="133" t="n"/>
      <c r="F49" s="107" t="n"/>
    </row>
    <row r="50">
      <c r="B50" s="132" t="n"/>
      <c r="C50" s="107" t="n"/>
      <c r="D50" s="107" t="n"/>
      <c r="E50" s="133" t="n"/>
      <c r="F50" s="107" t="n"/>
    </row>
    <row r="51">
      <c r="B51" s="132" t="n"/>
      <c r="C51" s="107" t="n"/>
      <c r="D51" s="107" t="n"/>
      <c r="E51" s="133" t="n"/>
      <c r="F51" s="107" t="n"/>
    </row>
    <row r="52">
      <c r="B52" s="132" t="n"/>
      <c r="C52" s="107" t="n"/>
      <c r="D52" s="107" t="n"/>
      <c r="E52" s="133" t="n"/>
      <c r="F52" s="107" t="n"/>
    </row>
    <row r="53">
      <c r="B53" s="132" t="n"/>
      <c r="C53" s="107" t="n"/>
      <c r="D53" s="107" t="n"/>
      <c r="E53" s="133" t="n"/>
      <c r="F53" s="107" t="n"/>
    </row>
    <row r="54">
      <c r="B54" s="132" t="n"/>
      <c r="C54" s="107" t="n"/>
      <c r="D54" s="107" t="n"/>
      <c r="E54" s="133" t="n"/>
      <c r="F54" s="107" t="n"/>
    </row>
    <row r="55">
      <c r="B55" s="132" t="n"/>
      <c r="C55" s="107" t="n"/>
      <c r="D55" s="107" t="n"/>
      <c r="E55" s="133" t="n"/>
      <c r="F55" s="107" t="n"/>
    </row>
    <row r="56">
      <c r="B56" s="132" t="n"/>
      <c r="C56" s="107" t="n"/>
      <c r="D56" s="107" t="n"/>
      <c r="E56" s="133" t="n"/>
      <c r="F56" s="107" t="n"/>
    </row>
    <row r="57">
      <c r="B57" s="132" t="n"/>
      <c r="C57" s="107" t="n"/>
      <c r="D57" s="107" t="n"/>
      <c r="E57" s="133" t="n"/>
      <c r="F57" s="107" t="n"/>
    </row>
    <row r="58">
      <c r="B58" s="132" t="n"/>
      <c r="C58" s="107" t="n"/>
      <c r="D58" s="107" t="n"/>
      <c r="E58" s="133" t="n"/>
      <c r="F58" s="107" t="n"/>
    </row>
    <row r="59">
      <c r="B59" s="132" t="n"/>
      <c r="C59" s="107" t="n"/>
      <c r="D59" s="107" t="n"/>
      <c r="E59" s="133" t="n"/>
      <c r="F59" s="107" t="n"/>
    </row>
    <row r="60">
      <c r="B60" s="132" t="n"/>
      <c r="C60" s="107" t="n"/>
      <c r="D60" s="107" t="n"/>
      <c r="E60" s="133" t="n"/>
      <c r="F60" s="107" t="n"/>
    </row>
    <row r="61">
      <c r="B61" s="132" t="n"/>
      <c r="C61" s="107" t="n"/>
      <c r="D61" s="107" t="n"/>
      <c r="E61" s="133" t="n"/>
      <c r="F61" s="107" t="n"/>
    </row>
    <row r="62">
      <c r="B62" s="132" t="n"/>
      <c r="C62" s="107" t="n"/>
      <c r="D62" s="107" t="n"/>
      <c r="E62" s="133" t="n"/>
      <c r="F62" s="107" t="n"/>
    </row>
    <row r="63">
      <c r="B63" s="132" t="n"/>
      <c r="C63" s="107" t="n"/>
      <c r="D63" s="107" t="n"/>
      <c r="E63" s="133" t="n"/>
      <c r="F63" s="107" t="n"/>
    </row>
    <row r="64">
      <c r="B64" s="132" t="n"/>
      <c r="C64" s="107" t="n"/>
      <c r="D64" s="107" t="n"/>
      <c r="E64" s="133" t="n"/>
      <c r="F64" s="107" t="n"/>
    </row>
    <row r="65">
      <c r="B65" s="132" t="n"/>
      <c r="C65" s="107" t="n"/>
      <c r="D65" s="107" t="n"/>
      <c r="E65" s="133" t="n"/>
      <c r="F65" s="107" t="n"/>
    </row>
    <row r="66">
      <c r="B66" s="132" t="n"/>
      <c r="C66" s="107" t="n"/>
      <c r="D66" s="107" t="n"/>
      <c r="E66" s="133" t="n"/>
      <c r="F66" s="107" t="n"/>
    </row>
    <row r="67">
      <c r="B67" s="132" t="n"/>
      <c r="C67" s="107" t="n"/>
      <c r="D67" s="107" t="n"/>
      <c r="E67" s="133" t="n"/>
      <c r="F67" s="107" t="n"/>
    </row>
    <row r="68">
      <c r="B68" s="132" t="n"/>
      <c r="C68" s="107" t="n"/>
      <c r="D68" s="107" t="n"/>
      <c r="E68" s="133" t="n"/>
      <c r="F68" s="107" t="n"/>
    </row>
    <row r="69">
      <c r="B69" s="132" t="n"/>
      <c r="C69" s="107" t="n"/>
      <c r="D69" s="107" t="n"/>
      <c r="E69" s="133" t="n"/>
      <c r="F69" s="107" t="n"/>
    </row>
    <row r="70">
      <c r="B70" s="132" t="n"/>
      <c r="C70" s="107" t="n"/>
      <c r="D70" s="107" t="n"/>
      <c r="E70" s="133" t="n"/>
      <c r="F70" s="107" t="n"/>
    </row>
    <row r="71">
      <c r="B71" s="132" t="n"/>
      <c r="C71" s="107" t="n"/>
      <c r="D71" s="107" t="n"/>
      <c r="E71" s="133" t="n"/>
      <c r="F71" s="107" t="n"/>
    </row>
    <row r="72">
      <c r="B72" s="132" t="n"/>
      <c r="C72" s="107" t="n"/>
      <c r="D72" s="107" t="n"/>
      <c r="E72" s="133" t="n"/>
      <c r="F72" s="107" t="n"/>
    </row>
    <row r="73">
      <c r="B73" s="132" t="n"/>
      <c r="C73" s="107" t="n"/>
      <c r="D73" s="107" t="n"/>
      <c r="E73" s="133" t="n"/>
      <c r="F73" s="107" t="n"/>
    </row>
    <row r="74">
      <c r="B74" s="132" t="n"/>
      <c r="C74" s="107" t="n"/>
      <c r="D74" s="107" t="n"/>
      <c r="E74" s="133" t="n"/>
      <c r="F74" s="107" t="n"/>
    </row>
    <row r="75">
      <c r="B75" s="132" t="n"/>
      <c r="C75" s="107" t="n"/>
      <c r="D75" s="107" t="n"/>
      <c r="E75" s="133" t="n"/>
      <c r="F75" s="107" t="n"/>
    </row>
    <row r="76">
      <c r="B76" s="132" t="n"/>
      <c r="C76" s="107" t="n"/>
      <c r="D76" s="107" t="n"/>
      <c r="E76" s="133" t="n"/>
      <c r="F76" s="107" t="n"/>
    </row>
    <row r="77">
      <c r="B77" s="132" t="n"/>
      <c r="C77" s="107" t="n"/>
      <c r="D77" s="107" t="n"/>
      <c r="E77" s="133" t="n"/>
      <c r="F77" s="107" t="n"/>
    </row>
    <row r="78">
      <c r="B78" s="132" t="n"/>
      <c r="C78" s="107" t="n"/>
      <c r="D78" s="107" t="n"/>
      <c r="E78" s="133" t="n"/>
      <c r="F78" s="107" t="n"/>
    </row>
    <row r="79">
      <c r="B79" s="132" t="n"/>
      <c r="C79" s="107" t="n"/>
      <c r="D79" s="107" t="n"/>
      <c r="E79" s="133" t="n"/>
      <c r="F79" s="107" t="n"/>
    </row>
    <row r="80">
      <c r="B80" s="132" t="n"/>
      <c r="C80" s="107" t="n"/>
      <c r="D80" s="107" t="n"/>
      <c r="E80" s="133" t="n"/>
      <c r="F80" s="107" t="n"/>
    </row>
    <row r="81">
      <c r="B81" s="132" t="n"/>
      <c r="C81" s="107" t="n"/>
      <c r="D81" s="107" t="n"/>
      <c r="E81" s="133" t="n"/>
      <c r="F81" s="107" t="n"/>
    </row>
    <row r="82">
      <c r="B82" s="132" t="n"/>
      <c r="C82" s="107" t="n"/>
      <c r="D82" s="107" t="n"/>
      <c r="E82" s="133" t="n"/>
      <c r="F82" s="107" t="n"/>
    </row>
    <row r="83">
      <c r="B83" s="132" t="n"/>
      <c r="C83" s="107" t="n"/>
      <c r="D83" s="107" t="n"/>
      <c r="E83" s="133" t="n"/>
      <c r="F83" s="107" t="n"/>
    </row>
    <row r="84">
      <c r="B84" s="132" t="n"/>
      <c r="C84" s="107" t="n"/>
      <c r="D84" s="107" t="n"/>
      <c r="E84" s="133" t="n"/>
      <c r="F84" s="107" t="n"/>
    </row>
    <row r="85">
      <c r="B85" s="132" t="n"/>
      <c r="C85" s="107" t="n"/>
      <c r="D85" s="107" t="n"/>
      <c r="E85" s="133" t="n"/>
      <c r="F85" s="107" t="n"/>
    </row>
    <row r="86">
      <c r="B86" s="132" t="n"/>
      <c r="C86" s="107" t="n"/>
      <c r="D86" s="107" t="n"/>
      <c r="E86" s="133" t="n"/>
      <c r="F86" s="107" t="n"/>
    </row>
    <row r="87">
      <c r="B87" s="132" t="n"/>
      <c r="C87" s="107" t="n"/>
      <c r="D87" s="107" t="n"/>
      <c r="E87" s="133" t="n"/>
      <c r="F87" s="107" t="n"/>
    </row>
    <row r="88">
      <c r="B88" s="132" t="n"/>
      <c r="C88" s="107" t="n"/>
      <c r="D88" s="107" t="n"/>
      <c r="E88" s="133" t="n"/>
      <c r="F88" s="107" t="n"/>
    </row>
    <row r="89">
      <c r="B89" s="132" t="n"/>
      <c r="C89" s="107" t="n"/>
      <c r="D89" s="107" t="n"/>
      <c r="E89" s="133" t="n"/>
      <c r="F89" s="107" t="n"/>
    </row>
    <row r="90">
      <c r="B90" s="132" t="n"/>
      <c r="C90" s="107" t="n"/>
      <c r="D90" s="107" t="n"/>
      <c r="E90" s="133" t="n"/>
      <c r="F90" s="107" t="n"/>
    </row>
    <row r="91">
      <c r="B91" s="132" t="n"/>
      <c r="C91" s="107" t="n"/>
      <c r="D91" s="107" t="n"/>
      <c r="E91" s="133" t="n"/>
      <c r="F91" s="107" t="n"/>
    </row>
    <row r="92">
      <c r="B92" s="132" t="n"/>
      <c r="C92" s="107" t="n"/>
      <c r="D92" s="107" t="n"/>
      <c r="E92" s="133" t="n"/>
      <c r="F92" s="107" t="n"/>
    </row>
    <row r="93">
      <c r="B93" s="132" t="n"/>
      <c r="C93" s="107" t="n"/>
      <c r="D93" s="107" t="n"/>
      <c r="E93" s="133" t="n"/>
      <c r="F93" s="107" t="n"/>
    </row>
    <row r="94">
      <c r="B94" s="132" t="n"/>
      <c r="C94" s="107" t="n"/>
      <c r="D94" s="107" t="n"/>
      <c r="E94" s="133" t="n"/>
      <c r="F94" s="107" t="n"/>
    </row>
    <row r="95">
      <c r="B95" s="132" t="n"/>
      <c r="C95" s="107" t="n"/>
      <c r="D95" s="107" t="n"/>
      <c r="E95" s="133" t="n"/>
      <c r="F95" s="107" t="n"/>
    </row>
    <row r="96">
      <c r="B96" s="132" t="n"/>
      <c r="C96" s="107" t="n"/>
      <c r="D96" s="107" t="n"/>
      <c r="E96" s="133" t="n"/>
      <c r="F96" s="107" t="n"/>
    </row>
    <row r="97">
      <c r="B97" s="132" t="n"/>
      <c r="C97" s="107" t="n"/>
      <c r="D97" s="107" t="n"/>
      <c r="E97" s="133" t="n"/>
      <c r="F97" s="107" t="n"/>
    </row>
    <row r="98">
      <c r="B98" s="132" t="n"/>
      <c r="C98" s="107" t="n"/>
      <c r="D98" s="107" t="n"/>
      <c r="E98" s="133" t="n"/>
      <c r="F98" s="107" t="n"/>
    </row>
    <row r="99">
      <c r="B99" s="132" t="n"/>
      <c r="C99" s="107" t="n"/>
      <c r="D99" s="107" t="n"/>
      <c r="E99" s="133" t="n"/>
      <c r="F99" s="107" t="n"/>
    </row>
    <row r="100">
      <c r="B100" s="132" t="n"/>
      <c r="C100" s="107" t="n"/>
      <c r="D100" s="107" t="n"/>
      <c r="E100" s="133" t="n"/>
      <c r="F100" s="107" t="n"/>
    </row>
    <row r="101">
      <c r="B101" s="132" t="n"/>
      <c r="C101" s="107" t="n"/>
      <c r="D101" s="107" t="n"/>
      <c r="E101" s="133" t="n"/>
      <c r="F101" s="107" t="n"/>
    </row>
    <row r="102">
      <c r="B102" s="132" t="n"/>
      <c r="C102" s="107" t="n"/>
      <c r="D102" s="107" t="n"/>
      <c r="E102" s="133" t="n"/>
      <c r="F102" s="107" t="n"/>
    </row>
    <row r="103">
      <c r="B103" s="132" t="n"/>
      <c r="C103" s="107" t="n"/>
      <c r="D103" s="107" t="n"/>
      <c r="E103" s="133" t="n"/>
      <c r="F103" s="107" t="n"/>
    </row>
    <row r="104">
      <c r="B104" s="132" t="n"/>
      <c r="C104" s="107" t="n"/>
      <c r="D104" s="107" t="n"/>
      <c r="E104" s="133" t="n"/>
      <c r="F104" s="107" t="n"/>
    </row>
    <row r="105">
      <c r="B105" s="132" t="n"/>
      <c r="C105" s="107" t="n"/>
      <c r="D105" s="107" t="n"/>
      <c r="E105" s="133" t="n"/>
      <c r="F105" s="107" t="n"/>
    </row>
    <row r="106">
      <c r="B106" s="132" t="n"/>
      <c r="C106" s="107" t="n"/>
      <c r="D106" s="107" t="n"/>
      <c r="E106" s="133" t="n"/>
      <c r="F106" s="107" t="n"/>
    </row>
    <row r="107">
      <c r="B107" s="132" t="n"/>
      <c r="C107" s="107" t="n"/>
      <c r="D107" s="107" t="n"/>
      <c r="E107" s="133" t="n"/>
      <c r="F107" s="107" t="n"/>
    </row>
    <row r="108">
      <c r="B108" s="132" t="n"/>
      <c r="C108" s="107" t="n"/>
      <c r="D108" s="107" t="n"/>
      <c r="E108" s="133" t="n"/>
      <c r="F108" s="107" t="n"/>
    </row>
    <row r="109">
      <c r="B109" s="132" t="n"/>
      <c r="C109" s="107" t="n"/>
      <c r="D109" s="107" t="n"/>
      <c r="E109" s="133" t="n"/>
      <c r="F109" s="107" t="n"/>
    </row>
    <row r="110">
      <c r="B110" s="132" t="n"/>
      <c r="C110" s="107" t="n"/>
      <c r="D110" s="107" t="n"/>
      <c r="E110" s="133" t="n"/>
      <c r="F110" s="107" t="n"/>
    </row>
    <row r="111">
      <c r="B111" s="132" t="n"/>
      <c r="C111" s="107" t="n"/>
      <c r="D111" s="107" t="n"/>
      <c r="E111" s="133" t="n"/>
      <c r="F111" s="107" t="n"/>
    </row>
    <row r="112">
      <c r="B112" s="132" t="n"/>
      <c r="C112" s="107" t="n"/>
      <c r="D112" s="107" t="n"/>
      <c r="E112" s="133" t="n"/>
      <c r="F112" s="107" t="n"/>
    </row>
    <row r="113">
      <c r="B113" s="132" t="n"/>
      <c r="C113" s="107" t="n"/>
      <c r="D113" s="107" t="n"/>
      <c r="E113" s="133" t="n"/>
      <c r="F113" s="107" t="n"/>
    </row>
    <row r="114">
      <c r="B114" s="132" t="n"/>
      <c r="C114" s="107" t="n"/>
      <c r="D114" s="107" t="n"/>
      <c r="E114" s="133" t="n"/>
      <c r="F114" s="107" t="n"/>
    </row>
    <row r="115">
      <c r="B115" s="132" t="n"/>
      <c r="C115" s="107" t="n"/>
      <c r="D115" s="107" t="n"/>
      <c r="E115" s="133" t="n"/>
      <c r="F115" s="107" t="n"/>
    </row>
    <row r="116">
      <c r="B116" s="132" t="n"/>
      <c r="C116" s="107" t="n"/>
      <c r="D116" s="107" t="n"/>
      <c r="E116" s="133" t="n"/>
      <c r="F116" s="107" t="n"/>
    </row>
    <row r="117">
      <c r="B117" s="132" t="n"/>
      <c r="C117" s="107" t="n"/>
      <c r="D117" s="107" t="n"/>
      <c r="E117" s="133" t="n"/>
      <c r="F117" s="107" t="n"/>
    </row>
    <row r="118">
      <c r="B118" s="132" t="n"/>
      <c r="C118" s="107" t="n"/>
      <c r="D118" s="107" t="n"/>
      <c r="E118" s="133" t="n"/>
      <c r="F118" s="107" t="n"/>
    </row>
    <row r="119">
      <c r="B119" s="132" t="n"/>
      <c r="C119" s="107" t="n"/>
      <c r="D119" s="107" t="n"/>
      <c r="E119" s="133" t="n"/>
      <c r="F119" s="107" t="n"/>
    </row>
    <row r="120">
      <c r="B120" s="132" t="n"/>
      <c r="C120" s="107" t="n"/>
      <c r="D120" s="107" t="n"/>
      <c r="E120" s="133" t="n"/>
      <c r="F120" s="107" t="n"/>
    </row>
    <row r="121">
      <c r="B121" s="132" t="n"/>
      <c r="C121" s="107" t="n"/>
      <c r="D121" s="107" t="n"/>
      <c r="E121" s="133" t="n"/>
      <c r="F121" s="107" t="n"/>
    </row>
    <row r="122">
      <c r="B122" s="132" t="n"/>
      <c r="C122" s="107" t="n"/>
      <c r="D122" s="107" t="n"/>
      <c r="E122" s="133" t="n"/>
      <c r="F122" s="107" t="n"/>
    </row>
    <row r="123">
      <c r="B123" s="132" t="n"/>
      <c r="C123" s="107" t="n"/>
      <c r="D123" s="107" t="n"/>
      <c r="E123" s="133" t="n"/>
      <c r="F123" s="107" t="n"/>
    </row>
    <row r="124">
      <c r="B124" s="132" t="n"/>
      <c r="C124" s="107" t="n"/>
      <c r="D124" s="107" t="n"/>
      <c r="E124" s="133" t="n"/>
      <c r="F124" s="107" t="n"/>
    </row>
    <row r="125">
      <c r="B125" s="132" t="n"/>
      <c r="C125" s="107" t="n"/>
      <c r="D125" s="107" t="n"/>
      <c r="E125" s="133" t="n"/>
      <c r="F125" s="107" t="n"/>
    </row>
    <row r="126">
      <c r="B126" s="132" t="n"/>
      <c r="C126" s="107" t="n"/>
      <c r="D126" s="107" t="n"/>
      <c r="E126" s="133" t="n"/>
      <c r="F126" s="107" t="n"/>
    </row>
    <row r="127">
      <c r="B127" s="132" t="n"/>
      <c r="C127" s="107" t="n"/>
      <c r="D127" s="107" t="n"/>
      <c r="E127" s="133" t="n"/>
      <c r="F127" s="107" t="n"/>
    </row>
    <row r="128">
      <c r="B128" s="132" t="n"/>
      <c r="C128" s="107" t="n"/>
      <c r="D128" s="107" t="n"/>
      <c r="E128" s="133" t="n"/>
      <c r="F128" s="107" t="n"/>
    </row>
    <row r="129">
      <c r="B129" s="132" t="n"/>
      <c r="C129" s="107" t="n"/>
      <c r="D129" s="107" t="n"/>
      <c r="E129" s="133" t="n"/>
      <c r="F129" s="107" t="n"/>
    </row>
    <row r="130">
      <c r="B130" s="132" t="n"/>
      <c r="C130" s="107" t="n"/>
      <c r="D130" s="107" t="n"/>
      <c r="E130" s="133" t="n"/>
      <c r="F130" s="107" t="n"/>
    </row>
    <row r="131">
      <c r="B131" s="132" t="n"/>
      <c r="C131" s="107" t="n"/>
      <c r="D131" s="107" t="n"/>
      <c r="E131" s="133" t="n"/>
      <c r="F131" s="107" t="n"/>
    </row>
    <row r="132">
      <c r="B132" s="132" t="n"/>
      <c r="C132" s="107" t="n"/>
      <c r="D132" s="107" t="n"/>
      <c r="E132" s="133" t="n"/>
      <c r="F132" s="107" t="n"/>
    </row>
    <row r="133">
      <c r="B133" s="132" t="n"/>
      <c r="C133" s="107" t="n"/>
      <c r="D133" s="107" t="n"/>
      <c r="E133" s="133" t="n"/>
      <c r="F133" s="107" t="n"/>
    </row>
    <row r="134">
      <c r="B134" s="132" t="n"/>
      <c r="C134" s="107" t="n"/>
      <c r="D134" s="107" t="n"/>
      <c r="E134" s="133" t="n"/>
      <c r="F134" s="107" t="n"/>
    </row>
    <row r="135">
      <c r="B135" s="132" t="n"/>
      <c r="C135" s="107" t="n"/>
      <c r="D135" s="107" t="n"/>
      <c r="E135" s="133" t="n"/>
      <c r="F135" s="107" t="n"/>
    </row>
    <row r="136">
      <c r="B136" s="132" t="n"/>
      <c r="C136" s="107" t="n"/>
      <c r="D136" s="107" t="n"/>
      <c r="E136" s="133" t="n"/>
      <c r="F136" s="107" t="n"/>
    </row>
    <row r="137">
      <c r="B137" s="132" t="n"/>
      <c r="C137" s="107" t="n"/>
      <c r="D137" s="107" t="n"/>
      <c r="E137" s="133" t="n"/>
      <c r="F137" s="107" t="n"/>
    </row>
    <row r="138">
      <c r="B138" s="132" t="n"/>
      <c r="C138" s="107" t="n"/>
      <c r="D138" s="107" t="n"/>
      <c r="E138" s="133" t="n"/>
      <c r="F138" s="107" t="n"/>
    </row>
    <row r="139">
      <c r="B139" s="132" t="n"/>
      <c r="C139" s="107" t="n"/>
      <c r="D139" s="107" t="n"/>
      <c r="E139" s="133" t="n"/>
      <c r="F139" s="107" t="n"/>
    </row>
    <row r="140">
      <c r="B140" s="132" t="n"/>
      <c r="C140" s="107" t="n"/>
      <c r="D140" s="107" t="n"/>
      <c r="E140" s="133" t="n"/>
      <c r="F140" s="107" t="n"/>
    </row>
    <row r="141">
      <c r="B141" s="132" t="n"/>
      <c r="C141" s="107" t="n"/>
      <c r="D141" s="107" t="n"/>
      <c r="E141" s="133" t="n"/>
      <c r="F141" s="107" t="n"/>
    </row>
    <row r="142">
      <c r="B142" s="132" t="n"/>
      <c r="C142" s="107" t="n"/>
      <c r="D142" s="107" t="n"/>
      <c r="E142" s="133" t="n"/>
      <c r="F142" s="107" t="n"/>
    </row>
    <row r="143">
      <c r="B143" s="132" t="n"/>
      <c r="C143" s="107" t="n"/>
      <c r="D143" s="107" t="n"/>
      <c r="E143" s="133" t="n"/>
      <c r="F143" s="107" t="n"/>
    </row>
    <row r="144">
      <c r="B144" s="132" t="n"/>
      <c r="C144" s="107" t="n"/>
      <c r="D144" s="107" t="n"/>
      <c r="E144" s="133" t="n"/>
      <c r="F144" s="107" t="n"/>
    </row>
    <row r="145">
      <c r="B145" s="132" t="n"/>
      <c r="C145" s="107" t="n"/>
      <c r="D145" s="107" t="n"/>
      <c r="E145" s="133" t="n"/>
      <c r="F145" s="107" t="n"/>
    </row>
    <row r="146">
      <c r="B146" s="132" t="n"/>
      <c r="C146" s="107" t="n"/>
      <c r="D146" s="107" t="n"/>
      <c r="E146" s="133" t="n"/>
      <c r="F146" s="107" t="n"/>
    </row>
    <row r="147">
      <c r="B147" s="132" t="n"/>
      <c r="C147" s="107" t="n"/>
      <c r="D147" s="107" t="n"/>
      <c r="E147" s="133" t="n"/>
      <c r="F147" s="107" t="n"/>
    </row>
    <row r="148">
      <c r="B148" s="132" t="n"/>
      <c r="C148" s="107" t="n"/>
      <c r="D148" s="107" t="n"/>
      <c r="E148" s="133" t="n"/>
      <c r="F148" s="107" t="n"/>
    </row>
    <row r="149">
      <c r="B149" s="132" t="n"/>
      <c r="C149" s="107" t="n"/>
      <c r="D149" s="107" t="n"/>
      <c r="E149" s="133" t="n"/>
      <c r="F149" s="107" t="n"/>
    </row>
    <row r="150">
      <c r="B150" s="132" t="n"/>
      <c r="C150" s="107" t="n"/>
      <c r="D150" s="107" t="n"/>
      <c r="E150" s="133" t="n"/>
      <c r="F150" s="107" t="n"/>
    </row>
    <row r="151">
      <c r="B151" s="132" t="n"/>
      <c r="C151" s="107" t="n"/>
      <c r="D151" s="107" t="n"/>
      <c r="E151" s="133" t="n"/>
      <c r="F151" s="107" t="n"/>
    </row>
    <row r="152">
      <c r="B152" s="132" t="n"/>
      <c r="C152" s="107" t="n"/>
      <c r="D152" s="107" t="n"/>
      <c r="E152" s="133" t="n"/>
      <c r="F152" s="107" t="n"/>
    </row>
    <row r="153">
      <c r="B153" s="132" t="n"/>
      <c r="C153" s="107" t="n"/>
      <c r="D153" s="107" t="n"/>
      <c r="E153" s="133" t="n"/>
      <c r="F153" s="107" t="n"/>
    </row>
    <row r="154">
      <c r="B154" s="132" t="n"/>
      <c r="C154" s="107" t="n"/>
      <c r="D154" s="107" t="n"/>
      <c r="E154" s="133" t="n"/>
      <c r="F154" s="107" t="n"/>
    </row>
    <row r="155">
      <c r="B155" s="132" t="n"/>
      <c r="C155" s="107" t="n"/>
      <c r="D155" s="107" t="n"/>
      <c r="E155" s="133" t="n"/>
      <c r="F155" s="107" t="n"/>
    </row>
    <row r="156">
      <c r="B156" s="132" t="n"/>
      <c r="C156" s="107" t="n"/>
      <c r="D156" s="107" t="n"/>
      <c r="E156" s="133" t="n"/>
      <c r="F156" s="107" t="n"/>
    </row>
    <row r="157">
      <c r="B157" s="132" t="n"/>
      <c r="C157" s="107" t="n"/>
      <c r="D157" s="107" t="n"/>
      <c r="E157" s="133" t="n"/>
      <c r="F157" s="107" t="n"/>
    </row>
    <row r="158">
      <c r="B158" s="132" t="n"/>
      <c r="C158" s="107" t="n"/>
      <c r="D158" s="107" t="n"/>
      <c r="E158" s="133" t="n"/>
      <c r="F158" s="107" t="n"/>
    </row>
    <row r="159">
      <c r="B159" s="132" t="n"/>
      <c r="C159" s="107" t="n"/>
      <c r="D159" s="107" t="n"/>
      <c r="E159" s="133" t="n"/>
      <c r="F159" s="107" t="n"/>
    </row>
    <row r="160">
      <c r="B160" s="132" t="n"/>
      <c r="C160" s="107" t="n"/>
      <c r="D160" s="107" t="n"/>
      <c r="E160" s="133" t="n"/>
      <c r="F160" s="107" t="n"/>
    </row>
    <row r="161">
      <c r="B161" s="132" t="n"/>
      <c r="C161" s="107" t="n"/>
      <c r="D161" s="107" t="n"/>
      <c r="E161" s="133" t="n"/>
      <c r="F161" s="107" t="n"/>
    </row>
    <row r="162">
      <c r="B162" s="132" t="n"/>
      <c r="C162" s="107" t="n"/>
      <c r="D162" s="107" t="n"/>
      <c r="E162" s="133" t="n"/>
      <c r="F162" s="107" t="n"/>
    </row>
    <row r="163">
      <c r="B163" s="132" t="n"/>
      <c r="C163" s="107" t="n"/>
      <c r="D163" s="107" t="n"/>
      <c r="E163" s="133" t="n"/>
      <c r="F163" s="107" t="n"/>
    </row>
    <row r="164">
      <c r="B164" s="132" t="n"/>
      <c r="C164" s="107" t="n"/>
      <c r="D164" s="107" t="n"/>
      <c r="E164" s="133" t="n"/>
      <c r="F164" s="107" t="n"/>
    </row>
    <row r="165">
      <c r="B165" s="132" t="n"/>
      <c r="C165" s="107" t="n"/>
      <c r="D165" s="107" t="n"/>
      <c r="E165" s="133" t="n"/>
      <c r="F165" s="107" t="n"/>
    </row>
    <row r="166">
      <c r="B166" s="132" t="n"/>
      <c r="C166" s="107" t="n"/>
      <c r="D166" s="107" t="n"/>
      <c r="E166" s="133" t="n"/>
      <c r="F166" s="107" t="n"/>
    </row>
    <row r="167">
      <c r="B167" s="132" t="n"/>
      <c r="C167" s="107" t="n"/>
      <c r="D167" s="107" t="n"/>
      <c r="E167" s="133" t="n"/>
      <c r="F167" s="107" t="n"/>
    </row>
    <row r="168">
      <c r="B168" s="132" t="n"/>
      <c r="C168" s="107" t="n"/>
      <c r="D168" s="107" t="n"/>
      <c r="E168" s="133" t="n"/>
      <c r="F168" s="107" t="n"/>
    </row>
    <row r="169">
      <c r="B169" s="132" t="n"/>
      <c r="C169" s="107" t="n"/>
      <c r="D169" s="107" t="n"/>
      <c r="E169" s="133" t="n"/>
      <c r="F169" s="107" t="n"/>
    </row>
    <row r="170">
      <c r="B170" s="132" t="n"/>
      <c r="C170" s="107" t="n"/>
      <c r="D170" s="107" t="n"/>
      <c r="E170" s="133" t="n"/>
      <c r="F170" s="107" t="n"/>
    </row>
    <row r="171">
      <c r="B171" s="132" t="n"/>
      <c r="C171" s="107" t="n"/>
      <c r="D171" s="107" t="n"/>
      <c r="E171" s="133" t="n"/>
      <c r="F171" s="107" t="n"/>
    </row>
    <row r="172">
      <c r="B172" s="132" t="n"/>
      <c r="C172" s="107" t="n"/>
      <c r="D172" s="107" t="n"/>
      <c r="E172" s="133" t="n"/>
      <c r="F172" s="107" t="n"/>
    </row>
    <row r="173">
      <c r="B173" s="132" t="n"/>
      <c r="C173" s="107" t="n"/>
      <c r="D173" s="107" t="n"/>
      <c r="E173" s="133" t="n"/>
      <c r="F173" s="107" t="n"/>
    </row>
    <row r="174">
      <c r="B174" s="132" t="n"/>
      <c r="C174" s="107" t="n"/>
      <c r="D174" s="107" t="n"/>
      <c r="E174" s="133" t="n"/>
      <c r="F174" s="107" t="n"/>
    </row>
    <row r="175">
      <c r="B175" s="132" t="n"/>
      <c r="C175" s="107" t="n"/>
      <c r="D175" s="107" t="n"/>
      <c r="E175" s="133" t="n"/>
      <c r="F175" s="107" t="n"/>
    </row>
    <row r="176">
      <c r="B176" s="132" t="n"/>
      <c r="C176" s="107" t="n"/>
      <c r="D176" s="107" t="n"/>
      <c r="E176" s="133" t="n"/>
      <c r="F176" s="107" t="n"/>
    </row>
    <row r="177">
      <c r="B177" s="132" t="n"/>
      <c r="C177" s="107" t="n"/>
      <c r="D177" s="107" t="n"/>
      <c r="E177" s="133" t="n"/>
      <c r="F177" s="107" t="n"/>
    </row>
    <row r="178">
      <c r="B178" s="132" t="n"/>
      <c r="C178" s="107" t="n"/>
      <c r="D178" s="107" t="n"/>
      <c r="E178" s="133" t="n"/>
      <c r="F178" s="107" t="n"/>
    </row>
    <row r="179">
      <c r="B179" s="132" t="n"/>
      <c r="C179" s="107" t="n"/>
      <c r="D179" s="107" t="n"/>
      <c r="E179" s="133" t="n"/>
      <c r="F179" s="107" t="n"/>
    </row>
    <row r="180">
      <c r="B180" s="132" t="n"/>
      <c r="C180" s="107" t="n"/>
      <c r="D180" s="107" t="n"/>
      <c r="E180" s="133" t="n"/>
      <c r="F180" s="107" t="n"/>
    </row>
    <row r="181">
      <c r="B181" s="132" t="n"/>
      <c r="C181" s="107" t="n"/>
      <c r="D181" s="107" t="n"/>
      <c r="E181" s="133" t="n"/>
      <c r="F181" s="107" t="n"/>
    </row>
    <row r="182">
      <c r="B182" s="132" t="n"/>
      <c r="C182" s="107" t="n"/>
      <c r="D182" s="107" t="n"/>
      <c r="E182" s="133" t="n"/>
      <c r="F182" s="107" t="n"/>
    </row>
    <row r="183">
      <c r="B183" s="132" t="n"/>
      <c r="C183" s="107" t="n"/>
      <c r="D183" s="107" t="n"/>
      <c r="E183" s="133" t="n"/>
      <c r="F183" s="107" t="n"/>
    </row>
    <row r="184">
      <c r="B184" s="132" t="n"/>
      <c r="C184" s="107" t="n"/>
      <c r="D184" s="107" t="n"/>
      <c r="E184" s="133" t="n"/>
      <c r="F184" s="107" t="n"/>
    </row>
    <row r="185">
      <c r="B185" s="132" t="n"/>
      <c r="C185" s="107" t="n"/>
      <c r="D185" s="107" t="n"/>
      <c r="E185" s="133" t="n"/>
      <c r="F185" s="107" t="n"/>
    </row>
    <row r="186">
      <c r="B186" s="132" t="n"/>
      <c r="C186" s="107" t="n"/>
      <c r="D186" s="107" t="n"/>
      <c r="E186" s="133" t="n"/>
      <c r="F186" s="107" t="n"/>
    </row>
    <row r="187">
      <c r="B187" s="132" t="n"/>
      <c r="C187" s="107" t="n"/>
      <c r="D187" s="107" t="n"/>
      <c r="E187" s="133" t="n"/>
      <c r="F187" s="107" t="n"/>
    </row>
    <row r="188">
      <c r="B188" s="132" t="n"/>
      <c r="C188" s="107" t="n"/>
      <c r="D188" s="107" t="n"/>
      <c r="E188" s="133" t="n"/>
      <c r="F188" s="107" t="n"/>
    </row>
    <row r="189">
      <c r="B189" s="132" t="n"/>
      <c r="C189" s="107" t="n"/>
      <c r="D189" s="107" t="n"/>
      <c r="E189" s="133" t="n"/>
      <c r="F189" s="107" t="n"/>
    </row>
    <row r="190">
      <c r="B190" s="132" t="n"/>
      <c r="C190" s="107" t="n"/>
      <c r="D190" s="107" t="n"/>
      <c r="E190" s="133" t="n"/>
      <c r="F190" s="107" t="n"/>
    </row>
    <row r="191">
      <c r="B191" s="132" t="n"/>
      <c r="C191" s="107" t="n"/>
      <c r="D191" s="107" t="n"/>
      <c r="E191" s="133" t="n"/>
      <c r="F191" s="107" t="n"/>
    </row>
    <row r="192">
      <c r="B192" s="132" t="n"/>
      <c r="C192" s="107" t="n"/>
      <c r="D192" s="107" t="n"/>
      <c r="E192" s="133" t="n"/>
      <c r="F192" s="107" t="n"/>
    </row>
    <row r="193">
      <c r="B193" s="132" t="n"/>
      <c r="C193" s="107" t="n"/>
      <c r="D193" s="107" t="n"/>
      <c r="E193" s="133" t="n"/>
      <c r="F193" s="107" t="n"/>
    </row>
    <row r="194">
      <c r="B194" s="132" t="n"/>
      <c r="C194" s="107" t="n"/>
      <c r="D194" s="107" t="n"/>
      <c r="E194" s="133" t="n"/>
      <c r="F194" s="107" t="n"/>
    </row>
    <row r="195">
      <c r="B195" s="132" t="n"/>
      <c r="C195" s="107" t="n"/>
      <c r="D195" s="107" t="n"/>
      <c r="E195" s="133" t="n"/>
      <c r="F195" s="107" t="n"/>
    </row>
    <row r="196">
      <c r="B196" s="132" t="n"/>
      <c r="C196" s="107" t="n"/>
      <c r="D196" s="107" t="n"/>
      <c r="E196" s="133" t="n"/>
      <c r="F196" s="107" t="n"/>
    </row>
    <row r="197">
      <c r="B197" s="132" t="n"/>
      <c r="C197" s="107" t="n"/>
      <c r="D197" s="107" t="n"/>
      <c r="E197" s="133" t="n"/>
      <c r="F197" s="107" t="n"/>
    </row>
    <row r="198">
      <c r="B198" s="132" t="n"/>
      <c r="C198" s="107" t="n"/>
      <c r="D198" s="107" t="n"/>
      <c r="E198" s="133" t="n"/>
      <c r="F198" s="107" t="n"/>
    </row>
    <row r="199">
      <c r="B199" s="132" t="n"/>
      <c r="C199" s="107" t="n"/>
      <c r="D199" s="107" t="n"/>
      <c r="E199" s="133" t="n"/>
      <c r="F199" s="107" t="n"/>
    </row>
    <row r="200">
      <c r="B200" s="132" t="n"/>
      <c r="C200" s="107" t="n"/>
      <c r="D200" s="107" t="n"/>
      <c r="E200" s="133" t="n"/>
      <c r="F200" s="107" t="n"/>
    </row>
    <row r="201">
      <c r="B201" s="132" t="n"/>
      <c r="C201" s="107" t="n"/>
      <c r="D201" s="107" t="n"/>
      <c r="E201" s="133" t="n"/>
      <c r="F201" s="107" t="n"/>
    </row>
    <row r="202">
      <c r="B202" s="132" t="n"/>
      <c r="C202" s="107" t="n"/>
      <c r="D202" s="107" t="n"/>
      <c r="E202" s="133" t="n"/>
      <c r="F202" s="107" t="n"/>
    </row>
    <row r="203">
      <c r="B203" s="132" t="n"/>
      <c r="C203" s="107" t="n"/>
      <c r="D203" s="107" t="n"/>
      <c r="E203" s="133" t="n"/>
      <c r="F203" s="107" t="n"/>
    </row>
    <row r="204">
      <c r="B204" s="132" t="n"/>
      <c r="C204" s="107" t="n"/>
      <c r="D204" s="107" t="n"/>
      <c r="E204" s="133" t="n"/>
      <c r="F204" s="107" t="n"/>
    </row>
    <row r="205">
      <c r="B205" s="132" t="n"/>
      <c r="C205" s="107" t="n"/>
      <c r="D205" s="107" t="n"/>
      <c r="E205" s="133" t="n"/>
      <c r="F205" s="107" t="n"/>
    </row>
    <row r="206">
      <c r="B206" s="132" t="n"/>
      <c r="C206" s="107" t="n"/>
      <c r="D206" s="107" t="n"/>
      <c r="E206" s="133" t="n"/>
      <c r="F206" s="107" t="n"/>
    </row>
    <row r="207">
      <c r="B207" s="132" t="n"/>
      <c r="C207" s="107" t="n"/>
      <c r="D207" s="107" t="n"/>
      <c r="E207" s="133" t="n"/>
      <c r="F207" s="107" t="n"/>
    </row>
    <row r="208">
      <c r="B208" s="132" t="n"/>
      <c r="C208" s="107" t="n"/>
      <c r="D208" s="107" t="n"/>
      <c r="E208" s="133" t="n"/>
      <c r="F208" s="107" t="n"/>
    </row>
    <row r="209">
      <c r="B209" s="132" t="n"/>
      <c r="C209" s="107" t="n"/>
      <c r="D209" s="107" t="n"/>
      <c r="E209" s="133" t="n"/>
      <c r="F209" s="107" t="n"/>
    </row>
    <row r="210">
      <c r="B210" s="132" t="n"/>
      <c r="C210" s="107" t="n"/>
      <c r="D210" s="107" t="n"/>
      <c r="E210" s="133" t="n"/>
      <c r="F210" s="107" t="n"/>
    </row>
    <row r="211">
      <c r="B211" s="132" t="n"/>
      <c r="C211" s="107" t="n"/>
      <c r="D211" s="107" t="n"/>
      <c r="E211" s="133" t="n"/>
      <c r="F211" s="107" t="n"/>
    </row>
    <row r="212">
      <c r="B212" s="132" t="n"/>
      <c r="C212" s="107" t="n"/>
      <c r="D212" s="107" t="n"/>
      <c r="E212" s="133" t="n"/>
      <c r="F212" s="107" t="n"/>
    </row>
    <row r="213">
      <c r="B213" s="132" t="n"/>
      <c r="C213" s="107" t="n"/>
      <c r="D213" s="107" t="n"/>
      <c r="E213" s="133" t="n"/>
      <c r="F213" s="107" t="n"/>
    </row>
    <row r="214">
      <c r="B214" s="132" t="n"/>
      <c r="C214" s="107" t="n"/>
      <c r="D214" s="107" t="n"/>
      <c r="E214" s="133" t="n"/>
      <c r="F214" s="107" t="n"/>
    </row>
    <row r="215">
      <c r="B215" s="132" t="n"/>
      <c r="C215" s="107" t="n"/>
      <c r="D215" s="107" t="n"/>
      <c r="E215" s="133" t="n"/>
      <c r="F215" s="107" t="n"/>
    </row>
    <row r="216">
      <c r="B216" s="132" t="n"/>
      <c r="C216" s="107" t="n"/>
      <c r="D216" s="107" t="n"/>
      <c r="E216" s="133" t="n"/>
      <c r="F216" s="107" t="n"/>
    </row>
    <row r="217">
      <c r="B217" s="132" t="n"/>
      <c r="C217" s="107" t="n"/>
      <c r="D217" s="107" t="n"/>
      <c r="E217" s="133" t="n"/>
      <c r="F217" s="107" t="n"/>
    </row>
    <row r="218">
      <c r="B218" s="132" t="n"/>
      <c r="C218" s="107" t="n"/>
      <c r="D218" s="107" t="n"/>
      <c r="E218" s="133" t="n"/>
      <c r="F218" s="107" t="n"/>
    </row>
    <row r="219">
      <c r="B219" s="132" t="n"/>
      <c r="C219" s="107" t="n"/>
      <c r="D219" s="107" t="n"/>
      <c r="E219" s="133" t="n"/>
      <c r="F219" s="107" t="n"/>
    </row>
    <row r="220">
      <c r="B220" s="132" t="n"/>
      <c r="C220" s="107" t="n"/>
      <c r="D220" s="107" t="n"/>
      <c r="E220" s="133" t="n"/>
      <c r="F220" s="107" t="n"/>
    </row>
    <row r="221">
      <c r="B221" s="132" t="n"/>
      <c r="C221" s="107" t="n"/>
      <c r="D221" s="107" t="n"/>
      <c r="E221" s="133" t="n"/>
      <c r="F221" s="107" t="n"/>
    </row>
    <row r="222">
      <c r="B222" s="132" t="n"/>
      <c r="C222" s="107" t="n"/>
      <c r="D222" s="107" t="n"/>
      <c r="E222" s="133" t="n"/>
      <c r="F222" s="107" t="n"/>
    </row>
    <row r="223">
      <c r="B223" s="132" t="n"/>
      <c r="C223" s="107" t="n"/>
      <c r="D223" s="107" t="n"/>
      <c r="E223" s="133" t="n"/>
      <c r="F223" s="107" t="n"/>
    </row>
    <row r="224">
      <c r="B224" s="132" t="n"/>
      <c r="C224" s="107" t="n"/>
      <c r="D224" s="107" t="n"/>
      <c r="E224" s="133" t="n"/>
      <c r="F224" s="107" t="n"/>
    </row>
    <row r="225">
      <c r="B225" s="132" t="n"/>
      <c r="C225" s="107" t="n"/>
      <c r="D225" s="107" t="n"/>
      <c r="E225" s="133" t="n"/>
      <c r="F225" s="107" t="n"/>
    </row>
    <row r="226">
      <c r="B226" s="132" t="n"/>
      <c r="C226" s="107" t="n"/>
      <c r="D226" s="107" t="n"/>
      <c r="E226" s="133" t="n"/>
      <c r="F226" s="107" t="n"/>
    </row>
    <row r="227">
      <c r="B227" s="132" t="n"/>
      <c r="C227" s="107" t="n"/>
      <c r="D227" s="107" t="n"/>
      <c r="E227" s="133" t="n"/>
      <c r="F227" s="107" t="n"/>
    </row>
    <row r="228">
      <c r="B228" s="132" t="n"/>
      <c r="C228" s="107" t="n"/>
      <c r="D228" s="107" t="n"/>
      <c r="E228" s="133" t="n"/>
      <c r="F228" s="107" t="n"/>
    </row>
    <row r="229">
      <c r="B229" s="132" t="n"/>
      <c r="C229" s="107" t="n"/>
      <c r="D229" s="107" t="n"/>
      <c r="E229" s="133" t="n"/>
      <c r="F229" s="107" t="n"/>
    </row>
    <row r="230">
      <c r="B230" s="132" t="n"/>
      <c r="C230" s="107" t="n"/>
      <c r="D230" s="107" t="n"/>
      <c r="E230" s="133" t="n"/>
      <c r="F230" s="107" t="n"/>
    </row>
    <row r="231">
      <c r="B231" s="132" t="n"/>
      <c r="C231" s="107" t="n"/>
      <c r="D231" s="107" t="n"/>
      <c r="E231" s="133" t="n"/>
      <c r="F231" s="107" t="n"/>
    </row>
    <row r="232">
      <c r="B232" s="132" t="n"/>
      <c r="C232" s="107" t="n"/>
      <c r="D232" s="107" t="n"/>
      <c r="E232" s="133" t="n"/>
      <c r="F232" s="107" t="n"/>
    </row>
    <row r="233">
      <c r="B233" s="132" t="n"/>
      <c r="C233" s="107" t="n"/>
      <c r="D233" s="107" t="n"/>
      <c r="E233" s="133" t="n"/>
      <c r="F233" s="107" t="n"/>
    </row>
    <row r="234">
      <c r="B234" s="132" t="n"/>
      <c r="C234" s="107" t="n"/>
      <c r="D234" s="107" t="n"/>
      <c r="E234" s="133" t="n"/>
      <c r="F234" s="107" t="n"/>
    </row>
    <row r="235">
      <c r="B235" s="132" t="n"/>
      <c r="C235" s="107" t="n"/>
      <c r="D235" s="107" t="n"/>
      <c r="E235" s="133" t="n"/>
      <c r="F235" s="107" t="n"/>
    </row>
    <row r="236">
      <c r="B236" s="132" t="n"/>
      <c r="C236" s="107" t="n"/>
      <c r="D236" s="107" t="n"/>
      <c r="E236" s="133" t="n"/>
      <c r="F236" s="107" t="n"/>
    </row>
    <row r="237">
      <c r="B237" s="132" t="n"/>
      <c r="C237" s="107" t="n"/>
      <c r="D237" s="107" t="n"/>
      <c r="E237" s="133" t="n"/>
      <c r="F237" s="107" t="n"/>
    </row>
    <row r="238">
      <c r="B238" s="132" t="n"/>
      <c r="C238" s="107" t="n"/>
      <c r="D238" s="107" t="n"/>
      <c r="E238" s="133" t="n"/>
      <c r="F238" s="107" t="n"/>
    </row>
    <row r="239">
      <c r="B239" s="132" t="n"/>
      <c r="C239" s="107" t="n"/>
      <c r="D239" s="107" t="n"/>
      <c r="E239" s="133" t="n"/>
      <c r="F239" s="107" t="n"/>
    </row>
    <row r="240">
      <c r="B240" s="132" t="n"/>
      <c r="C240" s="107" t="n"/>
      <c r="D240" s="107" t="n"/>
      <c r="E240" s="133" t="n"/>
      <c r="F240" s="107" t="n"/>
    </row>
    <row r="241">
      <c r="B241" s="132" t="n"/>
      <c r="C241" s="107" t="n"/>
      <c r="D241" s="107" t="n"/>
      <c r="E241" s="133" t="n"/>
      <c r="F241" s="107" t="n"/>
    </row>
    <row r="242">
      <c r="B242" s="132" t="n"/>
      <c r="C242" s="107" t="n"/>
      <c r="D242" s="107" t="n"/>
      <c r="E242" s="133" t="n"/>
      <c r="F242" s="107" t="n"/>
    </row>
    <row r="243">
      <c r="B243" s="132" t="n"/>
      <c r="C243" s="107" t="n"/>
      <c r="D243" s="107" t="n"/>
      <c r="E243" s="133" t="n"/>
      <c r="F243" s="107" t="n"/>
    </row>
    <row r="244">
      <c r="B244" s="132" t="n"/>
      <c r="C244" s="107" t="n"/>
      <c r="D244" s="107" t="n"/>
      <c r="E244" s="133" t="n"/>
      <c r="F244" s="107" t="n"/>
    </row>
    <row r="245">
      <c r="B245" s="132" t="n"/>
      <c r="C245" s="107" t="n"/>
      <c r="D245" s="107" t="n"/>
      <c r="E245" s="133" t="n"/>
      <c r="F245" s="107" t="n"/>
    </row>
    <row r="246">
      <c r="B246" s="132" t="n"/>
      <c r="C246" s="107" t="n"/>
      <c r="D246" s="107" t="n"/>
      <c r="E246" s="133" t="n"/>
      <c r="F246" s="107" t="n"/>
    </row>
    <row r="247">
      <c r="B247" s="132" t="n"/>
      <c r="C247" s="107" t="n"/>
      <c r="D247" s="107" t="n"/>
      <c r="E247" s="133" t="n"/>
      <c r="F247" s="107" t="n"/>
    </row>
    <row r="248">
      <c r="B248" s="132" t="n"/>
      <c r="C248" s="107" t="n"/>
      <c r="D248" s="107" t="n"/>
      <c r="E248" s="133" t="n"/>
      <c r="F248" s="107" t="n"/>
    </row>
    <row r="249">
      <c r="B249" s="132" t="n"/>
      <c r="C249" s="107" t="n"/>
      <c r="D249" s="107" t="n"/>
      <c r="E249" s="133" t="n"/>
      <c r="F249" s="107" t="n"/>
    </row>
    <row r="250">
      <c r="B250" s="132" t="n"/>
      <c r="C250" s="107" t="n"/>
      <c r="D250" s="107" t="n"/>
      <c r="E250" s="133" t="n"/>
      <c r="F250" s="107" t="n"/>
    </row>
    <row r="251">
      <c r="B251" s="132" t="n"/>
      <c r="C251" s="107" t="n"/>
      <c r="D251" s="107" t="n"/>
      <c r="E251" s="133" t="n"/>
      <c r="F251" s="107" t="n"/>
    </row>
    <row r="252">
      <c r="B252" s="132" t="n"/>
      <c r="C252" s="107" t="n"/>
      <c r="D252" s="107" t="n"/>
      <c r="E252" s="133" t="n"/>
      <c r="F252" s="107" t="n"/>
    </row>
    <row r="253">
      <c r="B253" s="132" t="n"/>
      <c r="C253" s="107" t="n"/>
      <c r="D253" s="107" t="n"/>
      <c r="E253" s="133" t="n"/>
      <c r="F253" s="107" t="n"/>
    </row>
    <row r="254">
      <c r="B254" s="132" t="n"/>
      <c r="C254" s="107" t="n"/>
      <c r="D254" s="107" t="n"/>
      <c r="E254" s="133" t="n"/>
      <c r="F254" s="107" t="n"/>
    </row>
    <row r="255">
      <c r="B255" s="132" t="n"/>
      <c r="C255" s="107" t="n"/>
      <c r="D255" s="107" t="n"/>
      <c r="E255" s="133" t="n"/>
      <c r="F255" s="107" t="n"/>
    </row>
    <row r="256">
      <c r="B256" s="132" t="n"/>
      <c r="C256" s="107" t="n"/>
      <c r="D256" s="107" t="n"/>
      <c r="E256" s="133" t="n"/>
      <c r="F256" s="107" t="n"/>
    </row>
    <row r="257">
      <c r="B257" s="132" t="n"/>
      <c r="C257" s="107" t="n"/>
      <c r="D257" s="107" t="n"/>
      <c r="E257" s="133" t="n"/>
      <c r="F257" s="107" t="n"/>
    </row>
    <row r="258">
      <c r="B258" s="132" t="n"/>
      <c r="C258" s="107" t="n"/>
      <c r="D258" s="107" t="n"/>
      <c r="E258" s="133" t="n"/>
      <c r="F258" s="107" t="n"/>
    </row>
    <row r="259">
      <c r="B259" s="132" t="n"/>
      <c r="C259" s="107" t="n"/>
      <c r="D259" s="107" t="n"/>
      <c r="E259" s="133" t="n"/>
      <c r="F259" s="107" t="n"/>
    </row>
    <row r="260">
      <c r="B260" s="132" t="n"/>
      <c r="C260" s="107" t="n"/>
      <c r="D260" s="107" t="n"/>
      <c r="E260" s="133" t="n"/>
      <c r="F260" s="107" t="n"/>
    </row>
    <row r="261">
      <c r="B261" s="132" t="n"/>
      <c r="C261" s="107" t="n"/>
      <c r="D261" s="107" t="n"/>
      <c r="E261" s="133" t="n"/>
      <c r="F261" s="107" t="n"/>
    </row>
    <row r="262">
      <c r="B262" s="132" t="n"/>
      <c r="C262" s="107" t="n"/>
      <c r="D262" s="107" t="n"/>
      <c r="E262" s="133" t="n"/>
      <c r="F262" s="107" t="n"/>
    </row>
    <row r="263">
      <c r="B263" s="132" t="n"/>
      <c r="C263" s="107" t="n"/>
      <c r="D263" s="107" t="n"/>
      <c r="E263" s="133" t="n"/>
      <c r="F263" s="107" t="n"/>
    </row>
    <row r="264">
      <c r="B264" s="132" t="n"/>
      <c r="C264" s="107" t="n"/>
      <c r="D264" s="107" t="n"/>
      <c r="E264" s="133" t="n"/>
      <c r="F264" s="107" t="n"/>
    </row>
    <row r="265">
      <c r="B265" s="132" t="n"/>
      <c r="C265" s="107" t="n"/>
      <c r="D265" s="107" t="n"/>
      <c r="E265" s="133" t="n"/>
      <c r="F265" s="107" t="n"/>
    </row>
    <row r="266">
      <c r="B266" s="132" t="n"/>
      <c r="C266" s="107" t="n"/>
      <c r="D266" s="107" t="n"/>
      <c r="E266" s="133" t="n"/>
      <c r="F266" s="107" t="n"/>
    </row>
    <row r="267">
      <c r="B267" s="132" t="n"/>
      <c r="C267" s="107" t="n"/>
      <c r="D267" s="107" t="n"/>
      <c r="E267" s="133" t="n"/>
      <c r="F267" s="107" t="n"/>
    </row>
    <row r="268">
      <c r="B268" s="132" t="n"/>
      <c r="C268" s="107" t="n"/>
      <c r="D268" s="107" t="n"/>
      <c r="E268" s="133" t="n"/>
      <c r="F268" s="107" t="n"/>
    </row>
    <row r="269">
      <c r="B269" s="132" t="n"/>
      <c r="C269" s="107" t="n"/>
      <c r="D269" s="107" t="n"/>
      <c r="E269" s="133" t="n"/>
      <c r="F269" s="107" t="n"/>
    </row>
    <row r="270">
      <c r="B270" s="132" t="n"/>
      <c r="C270" s="107" t="n"/>
      <c r="D270" s="107" t="n"/>
      <c r="E270" s="133" t="n"/>
      <c r="F270" s="107" t="n"/>
    </row>
    <row r="271">
      <c r="B271" s="132" t="n"/>
      <c r="C271" s="107" t="n"/>
      <c r="D271" s="107" t="n"/>
      <c r="E271" s="133" t="n"/>
      <c r="F271" s="107" t="n"/>
    </row>
    <row r="272">
      <c r="B272" s="132" t="n"/>
      <c r="C272" s="107" t="n"/>
      <c r="D272" s="107" t="n"/>
      <c r="E272" s="133" t="n"/>
      <c r="F272" s="107" t="n"/>
    </row>
    <row r="273">
      <c r="B273" s="132" t="n"/>
      <c r="C273" s="107" t="n"/>
      <c r="D273" s="107" t="n"/>
      <c r="E273" s="133" t="n"/>
      <c r="F273" s="107" t="n"/>
    </row>
    <row r="274">
      <c r="B274" s="132" t="n"/>
      <c r="C274" s="107" t="n"/>
      <c r="D274" s="107" t="n"/>
      <c r="E274" s="133" t="n"/>
      <c r="F274" s="107" t="n"/>
    </row>
    <row r="275">
      <c r="B275" s="132" t="n"/>
      <c r="C275" s="107" t="n"/>
      <c r="D275" s="107" t="n"/>
      <c r="E275" s="133" t="n"/>
      <c r="F275" s="107" t="n"/>
    </row>
    <row r="276">
      <c r="B276" s="132" t="n"/>
      <c r="C276" s="107" t="n"/>
      <c r="D276" s="107" t="n"/>
      <c r="E276" s="133" t="n"/>
      <c r="F276" s="107" t="n"/>
    </row>
    <row r="277">
      <c r="B277" s="132" t="n"/>
      <c r="C277" s="107" t="n"/>
      <c r="D277" s="107" t="n"/>
      <c r="E277" s="133" t="n"/>
      <c r="F277" s="107" t="n"/>
    </row>
    <row r="278">
      <c r="B278" s="132" t="n"/>
      <c r="C278" s="107" t="n"/>
      <c r="D278" s="107" t="n"/>
      <c r="E278" s="133" t="n"/>
      <c r="F278" s="107" t="n"/>
    </row>
    <row r="279">
      <c r="B279" s="132" t="n"/>
      <c r="C279" s="107" t="n"/>
      <c r="D279" s="107" t="n"/>
      <c r="E279" s="133" t="n"/>
      <c r="F279" s="107" t="n"/>
    </row>
    <row r="280">
      <c r="B280" s="132" t="n"/>
      <c r="C280" s="107" t="n"/>
      <c r="D280" s="107" t="n"/>
      <c r="E280" s="133" t="n"/>
      <c r="F280" s="107" t="n"/>
    </row>
    <row r="281">
      <c r="B281" s="132" t="n"/>
      <c r="C281" s="107" t="n"/>
      <c r="D281" s="107" t="n"/>
      <c r="E281" s="133" t="n"/>
      <c r="F281" s="107" t="n"/>
    </row>
    <row r="282">
      <c r="B282" s="132" t="n"/>
      <c r="C282" s="107" t="n"/>
      <c r="D282" s="107" t="n"/>
      <c r="E282" s="133" t="n"/>
      <c r="F282" s="107" t="n"/>
    </row>
    <row r="283">
      <c r="B283" s="132" t="n"/>
      <c r="C283" s="107" t="n"/>
      <c r="D283" s="107" t="n"/>
      <c r="E283" s="133" t="n"/>
      <c r="F283" s="107" t="n"/>
    </row>
    <row r="284">
      <c r="B284" s="132" t="n"/>
      <c r="C284" s="107" t="n"/>
      <c r="D284" s="107" t="n"/>
      <c r="E284" s="133" t="n"/>
      <c r="F284" s="107" t="n"/>
    </row>
    <row r="285">
      <c r="B285" s="132" t="n"/>
      <c r="C285" s="107" t="n"/>
      <c r="D285" s="107" t="n"/>
      <c r="E285" s="133" t="n"/>
      <c r="F285" s="107" t="n"/>
    </row>
    <row r="286">
      <c r="B286" s="132" t="n"/>
      <c r="C286" s="107" t="n"/>
      <c r="D286" s="107" t="n"/>
      <c r="E286" s="133" t="n"/>
      <c r="F286" s="107" t="n"/>
    </row>
    <row r="287">
      <c r="B287" s="132" t="n"/>
      <c r="C287" s="107" t="n"/>
      <c r="D287" s="107" t="n"/>
      <c r="E287" s="133" t="n"/>
      <c r="F287" s="107" t="n"/>
    </row>
    <row r="288">
      <c r="B288" s="132" t="n"/>
      <c r="C288" s="107" t="n"/>
      <c r="D288" s="107" t="n"/>
      <c r="E288" s="133" t="n"/>
      <c r="F288" s="107" t="n"/>
    </row>
    <row r="289">
      <c r="B289" s="132" t="n"/>
      <c r="C289" s="107" t="n"/>
      <c r="D289" s="107" t="n"/>
      <c r="E289" s="133" t="n"/>
      <c r="F289" s="107" t="n"/>
    </row>
    <row r="290">
      <c r="B290" s="132" t="n"/>
      <c r="C290" s="107" t="n"/>
      <c r="D290" s="107" t="n"/>
      <c r="E290" s="133" t="n"/>
      <c r="F290" s="107" t="n"/>
    </row>
    <row r="291">
      <c r="B291" s="132" t="n"/>
      <c r="C291" s="107" t="n"/>
      <c r="D291" s="107" t="n"/>
      <c r="E291" s="133" t="n"/>
      <c r="F291" s="107" t="n"/>
    </row>
    <row r="292">
      <c r="B292" s="132" t="n"/>
      <c r="C292" s="107" t="n"/>
      <c r="D292" s="107" t="n"/>
      <c r="E292" s="133" t="n"/>
      <c r="F292" s="107" t="n"/>
    </row>
    <row r="293">
      <c r="B293" s="132" t="n"/>
      <c r="C293" s="107" t="n"/>
      <c r="D293" s="107" t="n"/>
      <c r="E293" s="133" t="n"/>
      <c r="F293" s="107" t="n"/>
    </row>
    <row r="294">
      <c r="B294" s="132" t="n"/>
      <c r="C294" s="107" t="n"/>
      <c r="D294" s="107" t="n"/>
      <c r="E294" s="133" t="n"/>
      <c r="F294" s="107" t="n"/>
    </row>
    <row r="295">
      <c r="B295" s="132" t="n"/>
      <c r="C295" s="107" t="n"/>
      <c r="D295" s="107" t="n"/>
      <c r="E295" s="133" t="n"/>
      <c r="F295" s="107" t="n"/>
    </row>
    <row r="296">
      <c r="B296" s="132" t="n"/>
      <c r="C296" s="107" t="n"/>
      <c r="D296" s="107" t="n"/>
      <c r="E296" s="133" t="n"/>
      <c r="F296" s="107" t="n"/>
    </row>
    <row r="297">
      <c r="B297" s="132" t="n"/>
      <c r="C297" s="107" t="n"/>
      <c r="D297" s="107" t="n"/>
      <c r="E297" s="133" t="n"/>
      <c r="F297" s="107" t="n"/>
    </row>
    <row r="298">
      <c r="B298" s="132" t="n"/>
      <c r="C298" s="107" t="n"/>
      <c r="D298" s="107" t="n"/>
      <c r="E298" s="133" t="n"/>
      <c r="F298" s="107" t="n"/>
    </row>
    <row r="299">
      <c r="B299" s="132" t="n"/>
      <c r="C299" s="107" t="n"/>
      <c r="D299" s="107" t="n"/>
      <c r="E299" s="133" t="n"/>
      <c r="F299" s="107" t="n"/>
    </row>
    <row r="300">
      <c r="B300" s="132" t="n"/>
      <c r="C300" s="107" t="n"/>
      <c r="D300" s="107" t="n"/>
      <c r="E300" s="133" t="n"/>
      <c r="F300" s="107" t="n"/>
    </row>
    <row r="301">
      <c r="B301" s="132" t="n"/>
      <c r="C301" s="107" t="n"/>
      <c r="D301" s="107" t="n"/>
      <c r="E301" s="133" t="n"/>
      <c r="F301" s="107" t="n"/>
    </row>
    <row r="302">
      <c r="B302" s="132" t="n"/>
      <c r="C302" s="107" t="n"/>
      <c r="D302" s="107" t="n"/>
      <c r="E302" s="133" t="n"/>
      <c r="F302" s="107" t="n"/>
    </row>
    <row r="303">
      <c r="B303" s="132" t="n"/>
      <c r="C303" s="107" t="n"/>
      <c r="D303" s="107" t="n"/>
      <c r="E303" s="133" t="n"/>
      <c r="F303" s="107" t="n"/>
    </row>
    <row r="304">
      <c r="B304" s="132" t="n"/>
      <c r="C304" s="107" t="n"/>
      <c r="D304" s="107" t="n"/>
      <c r="E304" s="133" t="n"/>
      <c r="F304" s="107" t="n"/>
    </row>
    <row r="305">
      <c r="B305" s="132" t="n"/>
      <c r="C305" s="107" t="n"/>
      <c r="D305" s="107" t="n"/>
      <c r="E305" s="133" t="n"/>
      <c r="F305" s="107" t="n"/>
    </row>
    <row r="306">
      <c r="B306" s="132" t="n"/>
      <c r="C306" s="107" t="n"/>
      <c r="D306" s="107" t="n"/>
      <c r="E306" s="133" t="n"/>
      <c r="F306" s="107" t="n"/>
    </row>
    <row r="307">
      <c r="B307" s="132" t="n"/>
      <c r="C307" s="107" t="n"/>
      <c r="D307" s="107" t="n"/>
      <c r="E307" s="133" t="n"/>
      <c r="F307" s="107" t="n"/>
    </row>
    <row r="308">
      <c r="B308" s="132" t="n"/>
      <c r="C308" s="107" t="n"/>
      <c r="D308" s="107" t="n"/>
      <c r="E308" s="133" t="n"/>
      <c r="F308" s="107" t="n"/>
    </row>
    <row r="309">
      <c r="B309" s="132" t="n"/>
      <c r="C309" s="107" t="n"/>
      <c r="D309" s="107" t="n"/>
      <c r="E309" s="133" t="n"/>
      <c r="F309" s="107" t="n"/>
    </row>
    <row r="310">
      <c r="B310" s="132" t="n"/>
      <c r="C310" s="107" t="n"/>
      <c r="D310" s="107" t="n"/>
      <c r="E310" s="133" t="n"/>
      <c r="F310" s="107" t="n"/>
    </row>
    <row r="311">
      <c r="B311" s="132" t="n"/>
      <c r="C311" s="107" t="n"/>
      <c r="D311" s="107" t="n"/>
      <c r="E311" s="133" t="n"/>
      <c r="F311" s="107" t="n"/>
    </row>
    <row r="312">
      <c r="B312" s="132" t="n"/>
      <c r="C312" s="107" t="n"/>
      <c r="D312" s="107" t="n"/>
      <c r="E312" s="133" t="n"/>
      <c r="F312" s="107" t="n"/>
    </row>
    <row r="313">
      <c r="B313" s="132" t="n"/>
      <c r="C313" s="107" t="n"/>
      <c r="D313" s="107" t="n"/>
      <c r="E313" s="133" t="n"/>
      <c r="F313" s="107" t="n"/>
    </row>
    <row r="314">
      <c r="B314" s="132" t="n"/>
      <c r="C314" s="107" t="n"/>
      <c r="D314" s="107" t="n"/>
      <c r="E314" s="133" t="n"/>
      <c r="F314" s="107" t="n"/>
    </row>
    <row r="315">
      <c r="B315" s="132" t="n"/>
      <c r="C315" s="107" t="n"/>
      <c r="D315" s="107" t="n"/>
      <c r="E315" s="133" t="n"/>
      <c r="F315" s="107" t="n"/>
    </row>
    <row r="316">
      <c r="B316" s="132" t="n"/>
      <c r="C316" s="107" t="n"/>
      <c r="D316" s="107" t="n"/>
      <c r="E316" s="133" t="n"/>
      <c r="F316" s="107" t="n"/>
    </row>
    <row r="317">
      <c r="B317" s="132" t="n"/>
      <c r="C317" s="107" t="n"/>
      <c r="D317" s="107" t="n"/>
      <c r="E317" s="133" t="n"/>
      <c r="F317" s="107" t="n"/>
    </row>
    <row r="318">
      <c r="B318" s="132" t="n"/>
      <c r="C318" s="107" t="n"/>
      <c r="D318" s="107" t="n"/>
      <c r="E318" s="133" t="n"/>
      <c r="F318" s="107" t="n"/>
    </row>
    <row r="319">
      <c r="B319" s="132" t="n"/>
      <c r="C319" s="107" t="n"/>
      <c r="D319" s="107" t="n"/>
      <c r="E319" s="133" t="n"/>
      <c r="F319" s="107" t="n"/>
    </row>
    <row r="320">
      <c r="B320" s="132" t="n"/>
      <c r="C320" s="107" t="n"/>
      <c r="D320" s="107" t="n"/>
      <c r="E320" s="133" t="n"/>
      <c r="F320" s="107" t="n"/>
    </row>
    <row r="321">
      <c r="B321" s="132" t="n"/>
      <c r="C321" s="107" t="n"/>
      <c r="D321" s="107" t="n"/>
      <c r="E321" s="133" t="n"/>
      <c r="F321" s="107" t="n"/>
    </row>
  </sheetData>
  <conditionalFormatting sqref="E18">
    <cfRule type="cellIs" priority="1" operator="lessThan" dxfId="10">
      <formula>0</formula>
    </cfRule>
  </conditionalFormatting>
  <dataValidations count="2">
    <dataValidation sqref="C22:C321" showDropDown="0" showInputMessage="0" showErrorMessage="0" allowBlank="1" type="list">
      <formula1>=LST_MOV_WALMART</formula1>
    </dataValidation>
    <dataValidation sqref="E22:E321" showDropDown="0" showInputMessage="0" showErrorMessage="0" allowBlank="1" error="Capture montos positivos; el tipo de movimiento determina si suma o resta." type="decimal" operator="greaterThanOrEqual">
      <formula1>0</formula1>
    </dataValidation>
  </dataValidations>
  <printOptions horizontalCentered="1"/>
  <pageMargins left="0.4" right="0.4" top="1" bottom="1" header="0.5" footer="0.5"/>
  <pageSetup orientation="landscape" fitToHeight="0" fitToWidth="1"/>
  <headerFooter>
    <oddHeader/>
    <oddFooter>&amp;C&amp;8 COTIMIX · Sistema de control financiero ·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0071CE"/>
    <outlinePr summaryBelow="1" summaryRight="1"/>
    <pageSetUpPr fitToPage="1"/>
  </sheetPr>
  <dimension ref="A1:H321"/>
  <sheetViews>
    <sheetView showGridLines="0" zoomScale="90"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2.5" customWidth="1" min="1" max="1"/>
    <col width="12" customWidth="1" min="2" max="2"/>
    <col width="26" customWidth="1" min="3" max="3"/>
    <col width="36" customWidth="1" min="4" max="4"/>
    <col width="16" customWidth="1" min="5" max="5"/>
    <col width="36" customWidth="1" min="6" max="6"/>
  </cols>
  <sheetData>
    <row r="1" ht="34" customHeight="1">
      <c r="A1" s="1" t="n"/>
      <c r="B1" s="2" t="inlineStr">
        <is>
          <t>COTIMIX · BANCO / EFECTIVO Y TARJETA CITI</t>
        </is>
      </c>
      <c r="C1" s="1" t="n"/>
      <c r="D1" s="1" t="n"/>
      <c r="E1" s="1" t="n"/>
      <c r="F1" s="1" t="n"/>
      <c r="G1" s="1" t="n"/>
      <c r="H1" s="1" t="n"/>
    </row>
    <row r="2" ht="20" customHeight="1">
      <c r="A2" s="1" t="n"/>
      <c r="B2" s="3" t="inlineStr">
        <is>
          <t>Saldo de efectivo disponible y deuda de la tarjeta Citi, calculados desde todos los registros.</t>
        </is>
      </c>
      <c r="C2" s="1" t="n"/>
      <c r="D2" s="1" t="n"/>
      <c r="E2" s="1" t="n"/>
      <c r="F2" s="1" t="n"/>
      <c r="G2" s="1" t="n"/>
      <c r="H2" s="1" t="n"/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</row>
    <row r="5" ht="20" customHeight="1">
      <c r="B5" s="44" t="inlineStr">
        <is>
          <t>A. EFECTIVO / BANCO DISPONIBLE</t>
        </is>
      </c>
      <c r="C5" s="45" t="n"/>
      <c r="D5" s="45" t="n"/>
      <c r="E5" s="45" t="n"/>
    </row>
    <row r="6">
      <c r="B6" s="136" t="inlineStr">
        <is>
          <t>(+) Aportes de capital</t>
        </is>
      </c>
      <c r="C6" s="136" t="n"/>
      <c r="D6" s="136" t="n"/>
      <c r="E6" s="138">
        <f>SUMIFS(BANCO!$E$22:$E$321,BANCO!$C$22:$C$321,"Aporte de capital")</f>
        <v/>
      </c>
    </row>
    <row r="7">
      <c r="B7" s="136" t="inlineStr">
        <is>
          <t>(+) Depósitos recibidos de Walmart</t>
        </is>
      </c>
      <c r="C7" s="136" t="n"/>
      <c r="D7" s="136" t="n"/>
      <c r="E7" s="138">
        <f>-WALMART!E14</f>
        <v/>
      </c>
      <c r="F7" s="141" t="inlineStr">
        <is>
          <t>Desde hoja WALMART</t>
        </is>
      </c>
    </row>
    <row r="8">
      <c r="B8" s="136" t="inlineStr">
        <is>
          <t>(+) Otros ingresos</t>
        </is>
      </c>
      <c r="C8" s="136" t="n"/>
      <c r="D8" s="136" t="n"/>
      <c r="E8" s="138">
        <f>SUMIFS(BANCO!$E$22:$E$321,BANCO!$C$22:$C$321,"Otro ingreso")</f>
        <v/>
      </c>
    </row>
    <row r="9">
      <c r="B9" s="136" t="inlineStr">
        <is>
          <t>(−) Retiros del propietario</t>
        </is>
      </c>
      <c r="C9" s="136" t="n"/>
      <c r="D9" s="136" t="n"/>
      <c r="E9" s="138">
        <f>-SUMIFS(BANCO!$E$22:$E$321,BANCO!$C$22:$C$321,"Retiro del propietario")</f>
        <v/>
      </c>
    </row>
    <row r="10">
      <c r="B10" s="136" t="inlineStr">
        <is>
          <t>(−) Pagos a tarjeta Citi</t>
        </is>
      </c>
      <c r="C10" s="136" t="n"/>
      <c r="D10" s="136" t="n"/>
      <c r="E10" s="138">
        <f>-SUMIFS(BANCO!$E$22:$E$321,BANCO!$C$22:$C$321,"Pago tarjeta Citi")</f>
        <v/>
      </c>
    </row>
    <row r="11">
      <c r="B11" s="136" t="inlineStr">
        <is>
          <t>(−) Compras de inventario pagadas en efectivo</t>
        </is>
      </c>
      <c r="C11" s="136" t="n"/>
      <c r="D11" s="136" t="n"/>
      <c r="E11" s="138">
        <f>-SUMIFS(COMPRAS!$L$6:$L$305,COMPRAS!$I$6:$I$305,"Efectivo/Banco")</f>
        <v/>
      </c>
      <c r="F11" s="141" t="inlineStr">
        <is>
          <t>Desde hoja COMPRAS</t>
        </is>
      </c>
    </row>
    <row r="12">
      <c r="B12" s="136" t="inlineStr">
        <is>
          <t>(−) Gastos pagados en efectivo</t>
        </is>
      </c>
      <c r="C12" s="136" t="n"/>
      <c r="D12" s="136" t="n"/>
      <c r="E12" s="138">
        <f>-SUMIFS(GASTOS!$J$6:$J$305,GASTOS!$F$6:$F$305,"Efectivo/Banco")</f>
        <v/>
      </c>
      <c r="F12" s="141" t="inlineStr">
        <is>
          <t>Desde hoja GASTOS</t>
        </is>
      </c>
    </row>
    <row r="13">
      <c r="B13" s="139" t="inlineStr">
        <is>
          <t>SALDO DE EFECTIVO DISPONIBLE</t>
        </is>
      </c>
      <c r="C13" s="139" t="n"/>
      <c r="D13" s="139" t="n"/>
      <c r="E13" s="140">
        <f>SUM(E6:E12)</f>
        <v/>
      </c>
    </row>
    <row r="15" ht="20" customHeight="1">
      <c r="B15" s="42" t="inlineStr">
        <is>
          <t>B. TARJETA DE CRÉDITO CITI (pasivo)</t>
        </is>
      </c>
      <c r="C15" s="43" t="n"/>
      <c r="D15" s="43" t="n"/>
      <c r="E15" s="43" t="n"/>
    </row>
    <row r="16">
      <c r="B16" s="136" t="inlineStr">
        <is>
          <t>(+) Compras de inventario con Citi (incl. 2.9%)</t>
        </is>
      </c>
      <c r="C16" s="136" t="n"/>
      <c r="D16" s="136" t="n"/>
      <c r="E16" s="138">
        <f>SUMIFS(COMPRAS!$L$6:$L$305,COMPRAS!$I$6:$I$305,"Tarjeta Citi")</f>
        <v/>
      </c>
    </row>
    <row r="17">
      <c r="B17" s="136" t="inlineStr">
        <is>
          <t>(+) Gastos pagados con Citi (incl. 2.9%)</t>
        </is>
      </c>
      <c r="C17" s="136" t="n"/>
      <c r="D17" s="136" t="n"/>
      <c r="E17" s="138">
        <f>SUMIFS(GASTOS!$J$6:$J$305,GASTOS!$F$6:$F$305,"Tarjeta Citi")</f>
        <v/>
      </c>
    </row>
    <row r="18">
      <c r="B18" s="136" t="inlineStr">
        <is>
          <t>(−) Pagos realizados a Citi</t>
        </is>
      </c>
      <c r="C18" s="136" t="n"/>
      <c r="D18" s="136" t="n"/>
      <c r="E18" s="138">
        <f>E10</f>
        <v/>
      </c>
    </row>
    <row r="19">
      <c r="B19" s="139" t="inlineStr">
        <is>
          <t>SALDO POR PAGAR A CITI</t>
        </is>
      </c>
      <c r="C19" s="139" t="n"/>
      <c r="D19" s="139" t="n"/>
      <c r="E19" s="140">
        <f>SUM(E16:E18)</f>
        <v/>
      </c>
    </row>
    <row r="21" ht="32" customHeight="1">
      <c r="B21" s="95" t="inlineStr">
        <is>
          <t>Fecha</t>
        </is>
      </c>
      <c r="C21" s="95" t="inlineStr">
        <is>
          <t>Tipo de movimiento</t>
        </is>
      </c>
      <c r="D21" s="95" t="inlineStr">
        <is>
          <t>Referencia / Descripción</t>
        </is>
      </c>
      <c r="E21" s="95" t="inlineStr">
        <is>
          <t>Monto (USD)</t>
        </is>
      </c>
      <c r="F21" s="95" t="inlineStr">
        <is>
          <t>Notas</t>
        </is>
      </c>
    </row>
    <row r="22">
      <c r="B22" s="145">
        <f>CFG_FECHA</f>
        <v/>
      </c>
      <c r="C22" s="107" t="inlineStr">
        <is>
          <t>Aporte de capital</t>
        </is>
      </c>
      <c r="D22" s="107" t="inlineStr">
        <is>
          <t>Capital inicial invertido COTIMIX</t>
        </is>
      </c>
      <c r="E22" s="146">
        <f>CFG_CAPITAL</f>
        <v/>
      </c>
      <c r="F22" s="107" t="inlineStr">
        <is>
          <t>Vinculado a CONFIG (no editar aquí)</t>
        </is>
      </c>
    </row>
    <row r="23">
      <c r="B23" s="132" t="n"/>
      <c r="C23" s="107" t="n"/>
      <c r="D23" s="107" t="n"/>
      <c r="E23" s="133" t="n"/>
      <c r="F23" s="107" t="n"/>
    </row>
    <row r="24">
      <c r="B24" s="132" t="n"/>
      <c r="C24" s="107" t="n"/>
      <c r="D24" s="107" t="n"/>
      <c r="E24" s="133" t="n"/>
      <c r="F24" s="107" t="n"/>
    </row>
    <row r="25">
      <c r="B25" s="132" t="n"/>
      <c r="C25" s="107" t="n"/>
      <c r="D25" s="107" t="n"/>
      <c r="E25" s="133" t="n"/>
      <c r="F25" s="107" t="n"/>
    </row>
    <row r="26">
      <c r="B26" s="132" t="n"/>
      <c r="C26" s="107" t="n"/>
      <c r="D26" s="107" t="n"/>
      <c r="E26" s="133" t="n"/>
      <c r="F26" s="107" t="n"/>
    </row>
    <row r="27">
      <c r="B27" s="132" t="n"/>
      <c r="C27" s="107" t="n"/>
      <c r="D27" s="107" t="n"/>
      <c r="E27" s="133" t="n"/>
      <c r="F27" s="107" t="n"/>
    </row>
    <row r="28">
      <c r="B28" s="132" t="n"/>
      <c r="C28" s="107" t="n"/>
      <c r="D28" s="107" t="n"/>
      <c r="E28" s="133" t="n"/>
      <c r="F28" s="107" t="n"/>
    </row>
    <row r="29">
      <c r="B29" s="132" t="n"/>
      <c r="C29" s="107" t="n"/>
      <c r="D29" s="107" t="n"/>
      <c r="E29" s="133" t="n"/>
      <c r="F29" s="107" t="n"/>
    </row>
    <row r="30">
      <c r="B30" s="132" t="n"/>
      <c r="C30" s="107" t="n"/>
      <c r="D30" s="107" t="n"/>
      <c r="E30" s="133" t="n"/>
      <c r="F30" s="107" t="n"/>
    </row>
    <row r="31">
      <c r="B31" s="132" t="n"/>
      <c r="C31" s="107" t="n"/>
      <c r="D31" s="107" t="n"/>
      <c r="E31" s="133" t="n"/>
      <c r="F31" s="107" t="n"/>
    </row>
    <row r="32">
      <c r="B32" s="132" t="n"/>
      <c r="C32" s="107" t="n"/>
      <c r="D32" s="107" t="n"/>
      <c r="E32" s="133" t="n"/>
      <c r="F32" s="107" t="n"/>
    </row>
    <row r="33">
      <c r="B33" s="132" t="n"/>
      <c r="C33" s="107" t="n"/>
      <c r="D33" s="107" t="n"/>
      <c r="E33" s="133" t="n"/>
      <c r="F33" s="107" t="n"/>
    </row>
    <row r="34">
      <c r="B34" s="132" t="n"/>
      <c r="C34" s="107" t="n"/>
      <c r="D34" s="107" t="n"/>
      <c r="E34" s="133" t="n"/>
      <c r="F34" s="107" t="n"/>
    </row>
    <row r="35">
      <c r="B35" s="132" t="n"/>
      <c r="C35" s="107" t="n"/>
      <c r="D35" s="107" t="n"/>
      <c r="E35" s="133" t="n"/>
      <c r="F35" s="107" t="n"/>
    </row>
    <row r="36">
      <c r="B36" s="132" t="n"/>
      <c r="C36" s="107" t="n"/>
      <c r="D36" s="107" t="n"/>
      <c r="E36" s="133" t="n"/>
      <c r="F36" s="107" t="n"/>
    </row>
    <row r="37">
      <c r="B37" s="132" t="n"/>
      <c r="C37" s="107" t="n"/>
      <c r="D37" s="107" t="n"/>
      <c r="E37" s="133" t="n"/>
      <c r="F37" s="107" t="n"/>
    </row>
    <row r="38">
      <c r="B38" s="132" t="n"/>
      <c r="C38" s="107" t="n"/>
      <c r="D38" s="107" t="n"/>
      <c r="E38" s="133" t="n"/>
      <c r="F38" s="107" t="n"/>
    </row>
    <row r="39">
      <c r="B39" s="132" t="n"/>
      <c r="C39" s="107" t="n"/>
      <c r="D39" s="107" t="n"/>
      <c r="E39" s="133" t="n"/>
      <c r="F39" s="107" t="n"/>
    </row>
    <row r="40">
      <c r="B40" s="132" t="n"/>
      <c r="C40" s="107" t="n"/>
      <c r="D40" s="107" t="n"/>
      <c r="E40" s="133" t="n"/>
      <c r="F40" s="107" t="n"/>
    </row>
    <row r="41">
      <c r="B41" s="132" t="n"/>
      <c r="C41" s="107" t="n"/>
      <c r="D41" s="107" t="n"/>
      <c r="E41" s="133" t="n"/>
      <c r="F41" s="107" t="n"/>
    </row>
    <row r="42">
      <c r="B42" s="132" t="n"/>
      <c r="C42" s="107" t="n"/>
      <c r="D42" s="107" t="n"/>
      <c r="E42" s="133" t="n"/>
      <c r="F42" s="107" t="n"/>
    </row>
    <row r="43">
      <c r="B43" s="132" t="n"/>
      <c r="C43" s="107" t="n"/>
      <c r="D43" s="107" t="n"/>
      <c r="E43" s="133" t="n"/>
      <c r="F43" s="107" t="n"/>
    </row>
    <row r="44">
      <c r="B44" s="132" t="n"/>
      <c r="C44" s="107" t="n"/>
      <c r="D44" s="107" t="n"/>
      <c r="E44" s="133" t="n"/>
      <c r="F44" s="107" t="n"/>
    </row>
    <row r="45">
      <c r="B45" s="132" t="n"/>
      <c r="C45" s="107" t="n"/>
      <c r="D45" s="107" t="n"/>
      <c r="E45" s="133" t="n"/>
      <c r="F45" s="107" t="n"/>
    </row>
    <row r="46">
      <c r="B46" s="132" t="n"/>
      <c r="C46" s="107" t="n"/>
      <c r="D46" s="107" t="n"/>
      <c r="E46" s="133" t="n"/>
      <c r="F46" s="107" t="n"/>
    </row>
    <row r="47">
      <c r="B47" s="132" t="n"/>
      <c r="C47" s="107" t="n"/>
      <c r="D47" s="107" t="n"/>
      <c r="E47" s="133" t="n"/>
      <c r="F47" s="107" t="n"/>
    </row>
    <row r="48">
      <c r="B48" s="132" t="n"/>
      <c r="C48" s="107" t="n"/>
      <c r="D48" s="107" t="n"/>
      <c r="E48" s="133" t="n"/>
      <c r="F48" s="107" t="n"/>
    </row>
    <row r="49">
      <c r="B49" s="132" t="n"/>
      <c r="C49" s="107" t="n"/>
      <c r="D49" s="107" t="n"/>
      <c r="E49" s="133" t="n"/>
      <c r="F49" s="107" t="n"/>
    </row>
    <row r="50">
      <c r="B50" s="132" t="n"/>
      <c r="C50" s="107" t="n"/>
      <c r="D50" s="107" t="n"/>
      <c r="E50" s="133" t="n"/>
      <c r="F50" s="107" t="n"/>
    </row>
    <row r="51">
      <c r="B51" s="132" t="n"/>
      <c r="C51" s="107" t="n"/>
      <c r="D51" s="107" t="n"/>
      <c r="E51" s="133" t="n"/>
      <c r="F51" s="107" t="n"/>
    </row>
    <row r="52">
      <c r="B52" s="132" t="n"/>
      <c r="C52" s="107" t="n"/>
      <c r="D52" s="107" t="n"/>
      <c r="E52" s="133" t="n"/>
      <c r="F52" s="107" t="n"/>
    </row>
    <row r="53">
      <c r="B53" s="132" t="n"/>
      <c r="C53" s="107" t="n"/>
      <c r="D53" s="107" t="n"/>
      <c r="E53" s="133" t="n"/>
      <c r="F53" s="107" t="n"/>
    </row>
    <row r="54">
      <c r="B54" s="132" t="n"/>
      <c r="C54" s="107" t="n"/>
      <c r="D54" s="107" t="n"/>
      <c r="E54" s="133" t="n"/>
      <c r="F54" s="107" t="n"/>
    </row>
    <row r="55">
      <c r="B55" s="132" t="n"/>
      <c r="C55" s="107" t="n"/>
      <c r="D55" s="107" t="n"/>
      <c r="E55" s="133" t="n"/>
      <c r="F55" s="107" t="n"/>
    </row>
    <row r="56">
      <c r="B56" s="132" t="n"/>
      <c r="C56" s="107" t="n"/>
      <c r="D56" s="107" t="n"/>
      <c r="E56" s="133" t="n"/>
      <c r="F56" s="107" t="n"/>
    </row>
    <row r="57">
      <c r="B57" s="132" t="n"/>
      <c r="C57" s="107" t="n"/>
      <c r="D57" s="107" t="n"/>
      <c r="E57" s="133" t="n"/>
      <c r="F57" s="107" t="n"/>
    </row>
    <row r="58">
      <c r="B58" s="132" t="n"/>
      <c r="C58" s="107" t="n"/>
      <c r="D58" s="107" t="n"/>
      <c r="E58" s="133" t="n"/>
      <c r="F58" s="107" t="n"/>
    </row>
    <row r="59">
      <c r="B59" s="132" t="n"/>
      <c r="C59" s="107" t="n"/>
      <c r="D59" s="107" t="n"/>
      <c r="E59" s="133" t="n"/>
      <c r="F59" s="107" t="n"/>
    </row>
    <row r="60">
      <c r="B60" s="132" t="n"/>
      <c r="C60" s="107" t="n"/>
      <c r="D60" s="107" t="n"/>
      <c r="E60" s="133" t="n"/>
      <c r="F60" s="107" t="n"/>
    </row>
    <row r="61">
      <c r="B61" s="132" t="n"/>
      <c r="C61" s="107" t="n"/>
      <c r="D61" s="107" t="n"/>
      <c r="E61" s="133" t="n"/>
      <c r="F61" s="107" t="n"/>
    </row>
    <row r="62">
      <c r="B62" s="132" t="n"/>
      <c r="C62" s="107" t="n"/>
      <c r="D62" s="107" t="n"/>
      <c r="E62" s="133" t="n"/>
      <c r="F62" s="107" t="n"/>
    </row>
    <row r="63">
      <c r="B63" s="132" t="n"/>
      <c r="C63" s="107" t="n"/>
      <c r="D63" s="107" t="n"/>
      <c r="E63" s="133" t="n"/>
      <c r="F63" s="107" t="n"/>
    </row>
    <row r="64">
      <c r="B64" s="132" t="n"/>
      <c r="C64" s="107" t="n"/>
      <c r="D64" s="107" t="n"/>
      <c r="E64" s="133" t="n"/>
      <c r="F64" s="107" t="n"/>
    </row>
    <row r="65">
      <c r="B65" s="132" t="n"/>
      <c r="C65" s="107" t="n"/>
      <c r="D65" s="107" t="n"/>
      <c r="E65" s="133" t="n"/>
      <c r="F65" s="107" t="n"/>
    </row>
    <row r="66">
      <c r="B66" s="132" t="n"/>
      <c r="C66" s="107" t="n"/>
      <c r="D66" s="107" t="n"/>
      <c r="E66" s="133" t="n"/>
      <c r="F66" s="107" t="n"/>
    </row>
    <row r="67">
      <c r="B67" s="132" t="n"/>
      <c r="C67" s="107" t="n"/>
      <c r="D67" s="107" t="n"/>
      <c r="E67" s="133" t="n"/>
      <c r="F67" s="107" t="n"/>
    </row>
    <row r="68">
      <c r="B68" s="132" t="n"/>
      <c r="C68" s="107" t="n"/>
      <c r="D68" s="107" t="n"/>
      <c r="E68" s="133" t="n"/>
      <c r="F68" s="107" t="n"/>
    </row>
    <row r="69">
      <c r="B69" s="132" t="n"/>
      <c r="C69" s="107" t="n"/>
      <c r="D69" s="107" t="n"/>
      <c r="E69" s="133" t="n"/>
      <c r="F69" s="107" t="n"/>
    </row>
    <row r="70">
      <c r="B70" s="132" t="n"/>
      <c r="C70" s="107" t="n"/>
      <c r="D70" s="107" t="n"/>
      <c r="E70" s="133" t="n"/>
      <c r="F70" s="107" t="n"/>
    </row>
    <row r="71">
      <c r="B71" s="132" t="n"/>
      <c r="C71" s="107" t="n"/>
      <c r="D71" s="107" t="n"/>
      <c r="E71" s="133" t="n"/>
      <c r="F71" s="107" t="n"/>
    </row>
    <row r="72">
      <c r="B72" s="132" t="n"/>
      <c r="C72" s="107" t="n"/>
      <c r="D72" s="107" t="n"/>
      <c r="E72" s="133" t="n"/>
      <c r="F72" s="107" t="n"/>
    </row>
    <row r="73">
      <c r="B73" s="132" t="n"/>
      <c r="C73" s="107" t="n"/>
      <c r="D73" s="107" t="n"/>
      <c r="E73" s="133" t="n"/>
      <c r="F73" s="107" t="n"/>
    </row>
    <row r="74">
      <c r="B74" s="132" t="n"/>
      <c r="C74" s="107" t="n"/>
      <c r="D74" s="107" t="n"/>
      <c r="E74" s="133" t="n"/>
      <c r="F74" s="107" t="n"/>
    </row>
    <row r="75">
      <c r="B75" s="132" t="n"/>
      <c r="C75" s="107" t="n"/>
      <c r="D75" s="107" t="n"/>
      <c r="E75" s="133" t="n"/>
      <c r="F75" s="107" t="n"/>
    </row>
    <row r="76">
      <c r="B76" s="132" t="n"/>
      <c r="C76" s="107" t="n"/>
      <c r="D76" s="107" t="n"/>
      <c r="E76" s="133" t="n"/>
      <c r="F76" s="107" t="n"/>
    </row>
    <row r="77">
      <c r="B77" s="132" t="n"/>
      <c r="C77" s="107" t="n"/>
      <c r="D77" s="107" t="n"/>
      <c r="E77" s="133" t="n"/>
      <c r="F77" s="107" t="n"/>
    </row>
    <row r="78">
      <c r="B78" s="132" t="n"/>
      <c r="C78" s="107" t="n"/>
      <c r="D78" s="107" t="n"/>
      <c r="E78" s="133" t="n"/>
      <c r="F78" s="107" t="n"/>
    </row>
    <row r="79">
      <c r="B79" s="132" t="n"/>
      <c r="C79" s="107" t="n"/>
      <c r="D79" s="107" t="n"/>
      <c r="E79" s="133" t="n"/>
      <c r="F79" s="107" t="n"/>
    </row>
    <row r="80">
      <c r="B80" s="132" t="n"/>
      <c r="C80" s="107" t="n"/>
      <c r="D80" s="107" t="n"/>
      <c r="E80" s="133" t="n"/>
      <c r="F80" s="107" t="n"/>
    </row>
    <row r="81">
      <c r="B81" s="132" t="n"/>
      <c r="C81" s="107" t="n"/>
      <c r="D81" s="107" t="n"/>
      <c r="E81" s="133" t="n"/>
      <c r="F81" s="107" t="n"/>
    </row>
    <row r="82">
      <c r="B82" s="132" t="n"/>
      <c r="C82" s="107" t="n"/>
      <c r="D82" s="107" t="n"/>
      <c r="E82" s="133" t="n"/>
      <c r="F82" s="107" t="n"/>
    </row>
    <row r="83">
      <c r="B83" s="132" t="n"/>
      <c r="C83" s="107" t="n"/>
      <c r="D83" s="107" t="n"/>
      <c r="E83" s="133" t="n"/>
      <c r="F83" s="107" t="n"/>
    </row>
    <row r="84">
      <c r="B84" s="132" t="n"/>
      <c r="C84" s="107" t="n"/>
      <c r="D84" s="107" t="n"/>
      <c r="E84" s="133" t="n"/>
      <c r="F84" s="107" t="n"/>
    </row>
    <row r="85">
      <c r="B85" s="132" t="n"/>
      <c r="C85" s="107" t="n"/>
      <c r="D85" s="107" t="n"/>
      <c r="E85" s="133" t="n"/>
      <c r="F85" s="107" t="n"/>
    </row>
    <row r="86">
      <c r="B86" s="132" t="n"/>
      <c r="C86" s="107" t="n"/>
      <c r="D86" s="107" t="n"/>
      <c r="E86" s="133" t="n"/>
      <c r="F86" s="107" t="n"/>
    </row>
    <row r="87">
      <c r="B87" s="132" t="n"/>
      <c r="C87" s="107" t="n"/>
      <c r="D87" s="107" t="n"/>
      <c r="E87" s="133" t="n"/>
      <c r="F87" s="107" t="n"/>
    </row>
    <row r="88">
      <c r="B88" s="132" t="n"/>
      <c r="C88" s="107" t="n"/>
      <c r="D88" s="107" t="n"/>
      <c r="E88" s="133" t="n"/>
      <c r="F88" s="107" t="n"/>
    </row>
    <row r="89">
      <c r="B89" s="132" t="n"/>
      <c r="C89" s="107" t="n"/>
      <c r="D89" s="107" t="n"/>
      <c r="E89" s="133" t="n"/>
      <c r="F89" s="107" t="n"/>
    </row>
    <row r="90">
      <c r="B90" s="132" t="n"/>
      <c r="C90" s="107" t="n"/>
      <c r="D90" s="107" t="n"/>
      <c r="E90" s="133" t="n"/>
      <c r="F90" s="107" t="n"/>
    </row>
    <row r="91">
      <c r="B91" s="132" t="n"/>
      <c r="C91" s="107" t="n"/>
      <c r="D91" s="107" t="n"/>
      <c r="E91" s="133" t="n"/>
      <c r="F91" s="107" t="n"/>
    </row>
    <row r="92">
      <c r="B92" s="132" t="n"/>
      <c r="C92" s="107" t="n"/>
      <c r="D92" s="107" t="n"/>
      <c r="E92" s="133" t="n"/>
      <c r="F92" s="107" t="n"/>
    </row>
    <row r="93">
      <c r="B93" s="132" t="n"/>
      <c r="C93" s="107" t="n"/>
      <c r="D93" s="107" t="n"/>
      <c r="E93" s="133" t="n"/>
      <c r="F93" s="107" t="n"/>
    </row>
    <row r="94">
      <c r="B94" s="132" t="n"/>
      <c r="C94" s="107" t="n"/>
      <c r="D94" s="107" t="n"/>
      <c r="E94" s="133" t="n"/>
      <c r="F94" s="107" t="n"/>
    </row>
    <row r="95">
      <c r="B95" s="132" t="n"/>
      <c r="C95" s="107" t="n"/>
      <c r="D95" s="107" t="n"/>
      <c r="E95" s="133" t="n"/>
      <c r="F95" s="107" t="n"/>
    </row>
    <row r="96">
      <c r="B96" s="132" t="n"/>
      <c r="C96" s="107" t="n"/>
      <c r="D96" s="107" t="n"/>
      <c r="E96" s="133" t="n"/>
      <c r="F96" s="107" t="n"/>
    </row>
    <row r="97">
      <c r="B97" s="132" t="n"/>
      <c r="C97" s="107" t="n"/>
      <c r="D97" s="107" t="n"/>
      <c r="E97" s="133" t="n"/>
      <c r="F97" s="107" t="n"/>
    </row>
    <row r="98">
      <c r="B98" s="132" t="n"/>
      <c r="C98" s="107" t="n"/>
      <c r="D98" s="107" t="n"/>
      <c r="E98" s="133" t="n"/>
      <c r="F98" s="107" t="n"/>
    </row>
    <row r="99">
      <c r="B99" s="132" t="n"/>
      <c r="C99" s="107" t="n"/>
      <c r="D99" s="107" t="n"/>
      <c r="E99" s="133" t="n"/>
      <c r="F99" s="107" t="n"/>
    </row>
    <row r="100">
      <c r="B100" s="132" t="n"/>
      <c r="C100" s="107" t="n"/>
      <c r="D100" s="107" t="n"/>
      <c r="E100" s="133" t="n"/>
      <c r="F100" s="107" t="n"/>
    </row>
    <row r="101">
      <c r="B101" s="132" t="n"/>
      <c r="C101" s="107" t="n"/>
      <c r="D101" s="107" t="n"/>
      <c r="E101" s="133" t="n"/>
      <c r="F101" s="107" t="n"/>
    </row>
    <row r="102">
      <c r="B102" s="132" t="n"/>
      <c r="C102" s="107" t="n"/>
      <c r="D102" s="107" t="n"/>
      <c r="E102" s="133" t="n"/>
      <c r="F102" s="107" t="n"/>
    </row>
    <row r="103">
      <c r="B103" s="132" t="n"/>
      <c r="C103" s="107" t="n"/>
      <c r="D103" s="107" t="n"/>
      <c r="E103" s="133" t="n"/>
      <c r="F103" s="107" t="n"/>
    </row>
    <row r="104">
      <c r="B104" s="132" t="n"/>
      <c r="C104" s="107" t="n"/>
      <c r="D104" s="107" t="n"/>
      <c r="E104" s="133" t="n"/>
      <c r="F104" s="107" t="n"/>
    </row>
    <row r="105">
      <c r="B105" s="132" t="n"/>
      <c r="C105" s="107" t="n"/>
      <c r="D105" s="107" t="n"/>
      <c r="E105" s="133" t="n"/>
      <c r="F105" s="107" t="n"/>
    </row>
    <row r="106">
      <c r="B106" s="132" t="n"/>
      <c r="C106" s="107" t="n"/>
      <c r="D106" s="107" t="n"/>
      <c r="E106" s="133" t="n"/>
      <c r="F106" s="107" t="n"/>
    </row>
    <row r="107">
      <c r="B107" s="132" t="n"/>
      <c r="C107" s="107" t="n"/>
      <c r="D107" s="107" t="n"/>
      <c r="E107" s="133" t="n"/>
      <c r="F107" s="107" t="n"/>
    </row>
    <row r="108">
      <c r="B108" s="132" t="n"/>
      <c r="C108" s="107" t="n"/>
      <c r="D108" s="107" t="n"/>
      <c r="E108" s="133" t="n"/>
      <c r="F108" s="107" t="n"/>
    </row>
    <row r="109">
      <c r="B109" s="132" t="n"/>
      <c r="C109" s="107" t="n"/>
      <c r="D109" s="107" t="n"/>
      <c r="E109" s="133" t="n"/>
      <c r="F109" s="107" t="n"/>
    </row>
    <row r="110">
      <c r="B110" s="132" t="n"/>
      <c r="C110" s="107" t="n"/>
      <c r="D110" s="107" t="n"/>
      <c r="E110" s="133" t="n"/>
      <c r="F110" s="107" t="n"/>
    </row>
    <row r="111">
      <c r="B111" s="132" t="n"/>
      <c r="C111" s="107" t="n"/>
      <c r="D111" s="107" t="n"/>
      <c r="E111" s="133" t="n"/>
      <c r="F111" s="107" t="n"/>
    </row>
    <row r="112">
      <c r="B112" s="132" t="n"/>
      <c r="C112" s="107" t="n"/>
      <c r="D112" s="107" t="n"/>
      <c r="E112" s="133" t="n"/>
      <c r="F112" s="107" t="n"/>
    </row>
    <row r="113">
      <c r="B113" s="132" t="n"/>
      <c r="C113" s="107" t="n"/>
      <c r="D113" s="107" t="n"/>
      <c r="E113" s="133" t="n"/>
      <c r="F113" s="107" t="n"/>
    </row>
    <row r="114">
      <c r="B114" s="132" t="n"/>
      <c r="C114" s="107" t="n"/>
      <c r="D114" s="107" t="n"/>
      <c r="E114" s="133" t="n"/>
      <c r="F114" s="107" t="n"/>
    </row>
    <row r="115">
      <c r="B115" s="132" t="n"/>
      <c r="C115" s="107" t="n"/>
      <c r="D115" s="107" t="n"/>
      <c r="E115" s="133" t="n"/>
      <c r="F115" s="107" t="n"/>
    </row>
    <row r="116">
      <c r="B116" s="132" t="n"/>
      <c r="C116" s="107" t="n"/>
      <c r="D116" s="107" t="n"/>
      <c r="E116" s="133" t="n"/>
      <c r="F116" s="107" t="n"/>
    </row>
    <row r="117">
      <c r="B117" s="132" t="n"/>
      <c r="C117" s="107" t="n"/>
      <c r="D117" s="107" t="n"/>
      <c r="E117" s="133" t="n"/>
      <c r="F117" s="107" t="n"/>
    </row>
    <row r="118">
      <c r="B118" s="132" t="n"/>
      <c r="C118" s="107" t="n"/>
      <c r="D118" s="107" t="n"/>
      <c r="E118" s="133" t="n"/>
      <c r="F118" s="107" t="n"/>
    </row>
    <row r="119">
      <c r="B119" s="132" t="n"/>
      <c r="C119" s="107" t="n"/>
      <c r="D119" s="107" t="n"/>
      <c r="E119" s="133" t="n"/>
      <c r="F119" s="107" t="n"/>
    </row>
    <row r="120">
      <c r="B120" s="132" t="n"/>
      <c r="C120" s="107" t="n"/>
      <c r="D120" s="107" t="n"/>
      <c r="E120" s="133" t="n"/>
      <c r="F120" s="107" t="n"/>
    </row>
    <row r="121">
      <c r="B121" s="132" t="n"/>
      <c r="C121" s="107" t="n"/>
      <c r="D121" s="107" t="n"/>
      <c r="E121" s="133" t="n"/>
      <c r="F121" s="107" t="n"/>
    </row>
    <row r="122">
      <c r="B122" s="132" t="n"/>
      <c r="C122" s="107" t="n"/>
      <c r="D122" s="107" t="n"/>
      <c r="E122" s="133" t="n"/>
      <c r="F122" s="107" t="n"/>
    </row>
    <row r="123">
      <c r="B123" s="132" t="n"/>
      <c r="C123" s="107" t="n"/>
      <c r="D123" s="107" t="n"/>
      <c r="E123" s="133" t="n"/>
      <c r="F123" s="107" t="n"/>
    </row>
    <row r="124">
      <c r="B124" s="132" t="n"/>
      <c r="C124" s="107" t="n"/>
      <c r="D124" s="107" t="n"/>
      <c r="E124" s="133" t="n"/>
      <c r="F124" s="107" t="n"/>
    </row>
    <row r="125">
      <c r="B125" s="132" t="n"/>
      <c r="C125" s="107" t="n"/>
      <c r="D125" s="107" t="n"/>
      <c r="E125" s="133" t="n"/>
      <c r="F125" s="107" t="n"/>
    </row>
    <row r="126">
      <c r="B126" s="132" t="n"/>
      <c r="C126" s="107" t="n"/>
      <c r="D126" s="107" t="n"/>
      <c r="E126" s="133" t="n"/>
      <c r="F126" s="107" t="n"/>
    </row>
    <row r="127">
      <c r="B127" s="132" t="n"/>
      <c r="C127" s="107" t="n"/>
      <c r="D127" s="107" t="n"/>
      <c r="E127" s="133" t="n"/>
      <c r="F127" s="107" t="n"/>
    </row>
    <row r="128">
      <c r="B128" s="132" t="n"/>
      <c r="C128" s="107" t="n"/>
      <c r="D128" s="107" t="n"/>
      <c r="E128" s="133" t="n"/>
      <c r="F128" s="107" t="n"/>
    </row>
    <row r="129">
      <c r="B129" s="132" t="n"/>
      <c r="C129" s="107" t="n"/>
      <c r="D129" s="107" t="n"/>
      <c r="E129" s="133" t="n"/>
      <c r="F129" s="107" t="n"/>
    </row>
    <row r="130">
      <c r="B130" s="132" t="n"/>
      <c r="C130" s="107" t="n"/>
      <c r="D130" s="107" t="n"/>
      <c r="E130" s="133" t="n"/>
      <c r="F130" s="107" t="n"/>
    </row>
    <row r="131">
      <c r="B131" s="132" t="n"/>
      <c r="C131" s="107" t="n"/>
      <c r="D131" s="107" t="n"/>
      <c r="E131" s="133" t="n"/>
      <c r="F131" s="107" t="n"/>
    </row>
    <row r="132">
      <c r="B132" s="132" t="n"/>
      <c r="C132" s="107" t="n"/>
      <c r="D132" s="107" t="n"/>
      <c r="E132" s="133" t="n"/>
      <c r="F132" s="107" t="n"/>
    </row>
    <row r="133">
      <c r="B133" s="132" t="n"/>
      <c r="C133" s="107" t="n"/>
      <c r="D133" s="107" t="n"/>
      <c r="E133" s="133" t="n"/>
      <c r="F133" s="107" t="n"/>
    </row>
    <row r="134">
      <c r="B134" s="132" t="n"/>
      <c r="C134" s="107" t="n"/>
      <c r="D134" s="107" t="n"/>
      <c r="E134" s="133" t="n"/>
      <c r="F134" s="107" t="n"/>
    </row>
    <row r="135">
      <c r="B135" s="132" t="n"/>
      <c r="C135" s="107" t="n"/>
      <c r="D135" s="107" t="n"/>
      <c r="E135" s="133" t="n"/>
      <c r="F135" s="107" t="n"/>
    </row>
    <row r="136">
      <c r="B136" s="132" t="n"/>
      <c r="C136" s="107" t="n"/>
      <c r="D136" s="107" t="n"/>
      <c r="E136" s="133" t="n"/>
      <c r="F136" s="107" t="n"/>
    </row>
    <row r="137">
      <c r="B137" s="132" t="n"/>
      <c r="C137" s="107" t="n"/>
      <c r="D137" s="107" t="n"/>
      <c r="E137" s="133" t="n"/>
      <c r="F137" s="107" t="n"/>
    </row>
    <row r="138">
      <c r="B138" s="132" t="n"/>
      <c r="C138" s="107" t="n"/>
      <c r="D138" s="107" t="n"/>
      <c r="E138" s="133" t="n"/>
      <c r="F138" s="107" t="n"/>
    </row>
    <row r="139">
      <c r="B139" s="132" t="n"/>
      <c r="C139" s="107" t="n"/>
      <c r="D139" s="107" t="n"/>
      <c r="E139" s="133" t="n"/>
      <c r="F139" s="107" t="n"/>
    </row>
    <row r="140">
      <c r="B140" s="132" t="n"/>
      <c r="C140" s="107" t="n"/>
      <c r="D140" s="107" t="n"/>
      <c r="E140" s="133" t="n"/>
      <c r="F140" s="107" t="n"/>
    </row>
    <row r="141">
      <c r="B141" s="132" t="n"/>
      <c r="C141" s="107" t="n"/>
      <c r="D141" s="107" t="n"/>
      <c r="E141" s="133" t="n"/>
      <c r="F141" s="107" t="n"/>
    </row>
    <row r="142">
      <c r="B142" s="132" t="n"/>
      <c r="C142" s="107" t="n"/>
      <c r="D142" s="107" t="n"/>
      <c r="E142" s="133" t="n"/>
      <c r="F142" s="107" t="n"/>
    </row>
    <row r="143">
      <c r="B143" s="132" t="n"/>
      <c r="C143" s="107" t="n"/>
      <c r="D143" s="107" t="n"/>
      <c r="E143" s="133" t="n"/>
      <c r="F143" s="107" t="n"/>
    </row>
    <row r="144">
      <c r="B144" s="132" t="n"/>
      <c r="C144" s="107" t="n"/>
      <c r="D144" s="107" t="n"/>
      <c r="E144" s="133" t="n"/>
      <c r="F144" s="107" t="n"/>
    </row>
    <row r="145">
      <c r="B145" s="132" t="n"/>
      <c r="C145" s="107" t="n"/>
      <c r="D145" s="107" t="n"/>
      <c r="E145" s="133" t="n"/>
      <c r="F145" s="107" t="n"/>
    </row>
    <row r="146">
      <c r="B146" s="132" t="n"/>
      <c r="C146" s="107" t="n"/>
      <c r="D146" s="107" t="n"/>
      <c r="E146" s="133" t="n"/>
      <c r="F146" s="107" t="n"/>
    </row>
    <row r="147">
      <c r="B147" s="132" t="n"/>
      <c r="C147" s="107" t="n"/>
      <c r="D147" s="107" t="n"/>
      <c r="E147" s="133" t="n"/>
      <c r="F147" s="107" t="n"/>
    </row>
    <row r="148">
      <c r="B148" s="132" t="n"/>
      <c r="C148" s="107" t="n"/>
      <c r="D148" s="107" t="n"/>
      <c r="E148" s="133" t="n"/>
      <c r="F148" s="107" t="n"/>
    </row>
    <row r="149">
      <c r="B149" s="132" t="n"/>
      <c r="C149" s="107" t="n"/>
      <c r="D149" s="107" t="n"/>
      <c r="E149" s="133" t="n"/>
      <c r="F149" s="107" t="n"/>
    </row>
    <row r="150">
      <c r="B150" s="132" t="n"/>
      <c r="C150" s="107" t="n"/>
      <c r="D150" s="107" t="n"/>
      <c r="E150" s="133" t="n"/>
      <c r="F150" s="107" t="n"/>
    </row>
    <row r="151">
      <c r="B151" s="132" t="n"/>
      <c r="C151" s="107" t="n"/>
      <c r="D151" s="107" t="n"/>
      <c r="E151" s="133" t="n"/>
      <c r="F151" s="107" t="n"/>
    </row>
    <row r="152">
      <c r="B152" s="132" t="n"/>
      <c r="C152" s="107" t="n"/>
      <c r="D152" s="107" t="n"/>
      <c r="E152" s="133" t="n"/>
      <c r="F152" s="107" t="n"/>
    </row>
    <row r="153">
      <c r="B153" s="132" t="n"/>
      <c r="C153" s="107" t="n"/>
      <c r="D153" s="107" t="n"/>
      <c r="E153" s="133" t="n"/>
      <c r="F153" s="107" t="n"/>
    </row>
    <row r="154">
      <c r="B154" s="132" t="n"/>
      <c r="C154" s="107" t="n"/>
      <c r="D154" s="107" t="n"/>
      <c r="E154" s="133" t="n"/>
      <c r="F154" s="107" t="n"/>
    </row>
    <row r="155">
      <c r="B155" s="132" t="n"/>
      <c r="C155" s="107" t="n"/>
      <c r="D155" s="107" t="n"/>
      <c r="E155" s="133" t="n"/>
      <c r="F155" s="107" t="n"/>
    </row>
    <row r="156">
      <c r="B156" s="132" t="n"/>
      <c r="C156" s="107" t="n"/>
      <c r="D156" s="107" t="n"/>
      <c r="E156" s="133" t="n"/>
      <c r="F156" s="107" t="n"/>
    </row>
    <row r="157">
      <c r="B157" s="132" t="n"/>
      <c r="C157" s="107" t="n"/>
      <c r="D157" s="107" t="n"/>
      <c r="E157" s="133" t="n"/>
      <c r="F157" s="107" t="n"/>
    </row>
    <row r="158">
      <c r="B158" s="132" t="n"/>
      <c r="C158" s="107" t="n"/>
      <c r="D158" s="107" t="n"/>
      <c r="E158" s="133" t="n"/>
      <c r="F158" s="107" t="n"/>
    </row>
    <row r="159">
      <c r="B159" s="132" t="n"/>
      <c r="C159" s="107" t="n"/>
      <c r="D159" s="107" t="n"/>
      <c r="E159" s="133" t="n"/>
      <c r="F159" s="107" t="n"/>
    </row>
    <row r="160">
      <c r="B160" s="132" t="n"/>
      <c r="C160" s="107" t="n"/>
      <c r="D160" s="107" t="n"/>
      <c r="E160" s="133" t="n"/>
      <c r="F160" s="107" t="n"/>
    </row>
    <row r="161">
      <c r="B161" s="132" t="n"/>
      <c r="C161" s="107" t="n"/>
      <c r="D161" s="107" t="n"/>
      <c r="E161" s="133" t="n"/>
      <c r="F161" s="107" t="n"/>
    </row>
    <row r="162">
      <c r="B162" s="132" t="n"/>
      <c r="C162" s="107" t="n"/>
      <c r="D162" s="107" t="n"/>
      <c r="E162" s="133" t="n"/>
      <c r="F162" s="107" t="n"/>
    </row>
    <row r="163">
      <c r="B163" s="132" t="n"/>
      <c r="C163" s="107" t="n"/>
      <c r="D163" s="107" t="n"/>
      <c r="E163" s="133" t="n"/>
      <c r="F163" s="107" t="n"/>
    </row>
    <row r="164">
      <c r="B164" s="132" t="n"/>
      <c r="C164" s="107" t="n"/>
      <c r="D164" s="107" t="n"/>
      <c r="E164" s="133" t="n"/>
      <c r="F164" s="107" t="n"/>
    </row>
    <row r="165">
      <c r="B165" s="132" t="n"/>
      <c r="C165" s="107" t="n"/>
      <c r="D165" s="107" t="n"/>
      <c r="E165" s="133" t="n"/>
      <c r="F165" s="107" t="n"/>
    </row>
    <row r="166">
      <c r="B166" s="132" t="n"/>
      <c r="C166" s="107" t="n"/>
      <c r="D166" s="107" t="n"/>
      <c r="E166" s="133" t="n"/>
      <c r="F166" s="107" t="n"/>
    </row>
    <row r="167">
      <c r="B167" s="132" t="n"/>
      <c r="C167" s="107" t="n"/>
      <c r="D167" s="107" t="n"/>
      <c r="E167" s="133" t="n"/>
      <c r="F167" s="107" t="n"/>
    </row>
    <row r="168">
      <c r="B168" s="132" t="n"/>
      <c r="C168" s="107" t="n"/>
      <c r="D168" s="107" t="n"/>
      <c r="E168" s="133" t="n"/>
      <c r="F168" s="107" t="n"/>
    </row>
    <row r="169">
      <c r="B169" s="132" t="n"/>
      <c r="C169" s="107" t="n"/>
      <c r="D169" s="107" t="n"/>
      <c r="E169" s="133" t="n"/>
      <c r="F169" s="107" t="n"/>
    </row>
    <row r="170">
      <c r="B170" s="132" t="n"/>
      <c r="C170" s="107" t="n"/>
      <c r="D170" s="107" t="n"/>
      <c r="E170" s="133" t="n"/>
      <c r="F170" s="107" t="n"/>
    </row>
    <row r="171">
      <c r="B171" s="132" t="n"/>
      <c r="C171" s="107" t="n"/>
      <c r="D171" s="107" t="n"/>
      <c r="E171" s="133" t="n"/>
      <c r="F171" s="107" t="n"/>
    </row>
    <row r="172">
      <c r="B172" s="132" t="n"/>
      <c r="C172" s="107" t="n"/>
      <c r="D172" s="107" t="n"/>
      <c r="E172" s="133" t="n"/>
      <c r="F172" s="107" t="n"/>
    </row>
    <row r="173">
      <c r="B173" s="132" t="n"/>
      <c r="C173" s="107" t="n"/>
      <c r="D173" s="107" t="n"/>
      <c r="E173" s="133" t="n"/>
      <c r="F173" s="107" t="n"/>
    </row>
    <row r="174">
      <c r="B174" s="132" t="n"/>
      <c r="C174" s="107" t="n"/>
      <c r="D174" s="107" t="n"/>
      <c r="E174" s="133" t="n"/>
      <c r="F174" s="107" t="n"/>
    </row>
    <row r="175">
      <c r="B175" s="132" t="n"/>
      <c r="C175" s="107" t="n"/>
      <c r="D175" s="107" t="n"/>
      <c r="E175" s="133" t="n"/>
      <c r="F175" s="107" t="n"/>
    </row>
    <row r="176">
      <c r="B176" s="132" t="n"/>
      <c r="C176" s="107" t="n"/>
      <c r="D176" s="107" t="n"/>
      <c r="E176" s="133" t="n"/>
      <c r="F176" s="107" t="n"/>
    </row>
    <row r="177">
      <c r="B177" s="132" t="n"/>
      <c r="C177" s="107" t="n"/>
      <c r="D177" s="107" t="n"/>
      <c r="E177" s="133" t="n"/>
      <c r="F177" s="107" t="n"/>
    </row>
    <row r="178">
      <c r="B178" s="132" t="n"/>
      <c r="C178" s="107" t="n"/>
      <c r="D178" s="107" t="n"/>
      <c r="E178" s="133" t="n"/>
      <c r="F178" s="107" t="n"/>
    </row>
    <row r="179">
      <c r="B179" s="132" t="n"/>
      <c r="C179" s="107" t="n"/>
      <c r="D179" s="107" t="n"/>
      <c r="E179" s="133" t="n"/>
      <c r="F179" s="107" t="n"/>
    </row>
    <row r="180">
      <c r="B180" s="132" t="n"/>
      <c r="C180" s="107" t="n"/>
      <c r="D180" s="107" t="n"/>
      <c r="E180" s="133" t="n"/>
      <c r="F180" s="107" t="n"/>
    </row>
    <row r="181">
      <c r="B181" s="132" t="n"/>
      <c r="C181" s="107" t="n"/>
      <c r="D181" s="107" t="n"/>
      <c r="E181" s="133" t="n"/>
      <c r="F181" s="107" t="n"/>
    </row>
    <row r="182">
      <c r="B182" s="132" t="n"/>
      <c r="C182" s="107" t="n"/>
      <c r="D182" s="107" t="n"/>
      <c r="E182" s="133" t="n"/>
      <c r="F182" s="107" t="n"/>
    </row>
    <row r="183">
      <c r="B183" s="132" t="n"/>
      <c r="C183" s="107" t="n"/>
      <c r="D183" s="107" t="n"/>
      <c r="E183" s="133" t="n"/>
      <c r="F183" s="107" t="n"/>
    </row>
    <row r="184">
      <c r="B184" s="132" t="n"/>
      <c r="C184" s="107" t="n"/>
      <c r="D184" s="107" t="n"/>
      <c r="E184" s="133" t="n"/>
      <c r="F184" s="107" t="n"/>
    </row>
    <row r="185">
      <c r="B185" s="132" t="n"/>
      <c r="C185" s="107" t="n"/>
      <c r="D185" s="107" t="n"/>
      <c r="E185" s="133" t="n"/>
      <c r="F185" s="107" t="n"/>
    </row>
    <row r="186">
      <c r="B186" s="132" t="n"/>
      <c r="C186" s="107" t="n"/>
      <c r="D186" s="107" t="n"/>
      <c r="E186" s="133" t="n"/>
      <c r="F186" s="107" t="n"/>
    </row>
    <row r="187">
      <c r="B187" s="132" t="n"/>
      <c r="C187" s="107" t="n"/>
      <c r="D187" s="107" t="n"/>
      <c r="E187" s="133" t="n"/>
      <c r="F187" s="107" t="n"/>
    </row>
    <row r="188">
      <c r="B188" s="132" t="n"/>
      <c r="C188" s="107" t="n"/>
      <c r="D188" s="107" t="n"/>
      <c r="E188" s="133" t="n"/>
      <c r="F188" s="107" t="n"/>
    </row>
    <row r="189">
      <c r="B189" s="132" t="n"/>
      <c r="C189" s="107" t="n"/>
      <c r="D189" s="107" t="n"/>
      <c r="E189" s="133" t="n"/>
      <c r="F189" s="107" t="n"/>
    </row>
    <row r="190">
      <c r="B190" s="132" t="n"/>
      <c r="C190" s="107" t="n"/>
      <c r="D190" s="107" t="n"/>
      <c r="E190" s="133" t="n"/>
      <c r="F190" s="107" t="n"/>
    </row>
    <row r="191">
      <c r="B191" s="132" t="n"/>
      <c r="C191" s="107" t="n"/>
      <c r="D191" s="107" t="n"/>
      <c r="E191" s="133" t="n"/>
      <c r="F191" s="107" t="n"/>
    </row>
    <row r="192">
      <c r="B192" s="132" t="n"/>
      <c r="C192" s="107" t="n"/>
      <c r="D192" s="107" t="n"/>
      <c r="E192" s="133" t="n"/>
      <c r="F192" s="107" t="n"/>
    </row>
    <row r="193">
      <c r="B193" s="132" t="n"/>
      <c r="C193" s="107" t="n"/>
      <c r="D193" s="107" t="n"/>
      <c r="E193" s="133" t="n"/>
      <c r="F193" s="107" t="n"/>
    </row>
    <row r="194">
      <c r="B194" s="132" t="n"/>
      <c r="C194" s="107" t="n"/>
      <c r="D194" s="107" t="n"/>
      <c r="E194" s="133" t="n"/>
      <c r="F194" s="107" t="n"/>
    </row>
    <row r="195">
      <c r="B195" s="132" t="n"/>
      <c r="C195" s="107" t="n"/>
      <c r="D195" s="107" t="n"/>
      <c r="E195" s="133" t="n"/>
      <c r="F195" s="107" t="n"/>
    </row>
    <row r="196">
      <c r="B196" s="132" t="n"/>
      <c r="C196" s="107" t="n"/>
      <c r="D196" s="107" t="n"/>
      <c r="E196" s="133" t="n"/>
      <c r="F196" s="107" t="n"/>
    </row>
    <row r="197">
      <c r="B197" s="132" t="n"/>
      <c r="C197" s="107" t="n"/>
      <c r="D197" s="107" t="n"/>
      <c r="E197" s="133" t="n"/>
      <c r="F197" s="107" t="n"/>
    </row>
    <row r="198">
      <c r="B198" s="132" t="n"/>
      <c r="C198" s="107" t="n"/>
      <c r="D198" s="107" t="n"/>
      <c r="E198" s="133" t="n"/>
      <c r="F198" s="107" t="n"/>
    </row>
    <row r="199">
      <c r="B199" s="132" t="n"/>
      <c r="C199" s="107" t="n"/>
      <c r="D199" s="107" t="n"/>
      <c r="E199" s="133" t="n"/>
      <c r="F199" s="107" t="n"/>
    </row>
    <row r="200">
      <c r="B200" s="132" t="n"/>
      <c r="C200" s="107" t="n"/>
      <c r="D200" s="107" t="n"/>
      <c r="E200" s="133" t="n"/>
      <c r="F200" s="107" t="n"/>
    </row>
    <row r="201">
      <c r="B201" s="132" t="n"/>
      <c r="C201" s="107" t="n"/>
      <c r="D201" s="107" t="n"/>
      <c r="E201" s="133" t="n"/>
      <c r="F201" s="107" t="n"/>
    </row>
    <row r="202">
      <c r="B202" s="132" t="n"/>
      <c r="C202" s="107" t="n"/>
      <c r="D202" s="107" t="n"/>
      <c r="E202" s="133" t="n"/>
      <c r="F202" s="107" t="n"/>
    </row>
    <row r="203">
      <c r="B203" s="132" t="n"/>
      <c r="C203" s="107" t="n"/>
      <c r="D203" s="107" t="n"/>
      <c r="E203" s="133" t="n"/>
      <c r="F203" s="107" t="n"/>
    </row>
    <row r="204">
      <c r="B204" s="132" t="n"/>
      <c r="C204" s="107" t="n"/>
      <c r="D204" s="107" t="n"/>
      <c r="E204" s="133" t="n"/>
      <c r="F204" s="107" t="n"/>
    </row>
    <row r="205">
      <c r="B205" s="132" t="n"/>
      <c r="C205" s="107" t="n"/>
      <c r="D205" s="107" t="n"/>
      <c r="E205" s="133" t="n"/>
      <c r="F205" s="107" t="n"/>
    </row>
    <row r="206">
      <c r="B206" s="132" t="n"/>
      <c r="C206" s="107" t="n"/>
      <c r="D206" s="107" t="n"/>
      <c r="E206" s="133" t="n"/>
      <c r="F206" s="107" t="n"/>
    </row>
    <row r="207">
      <c r="B207" s="132" t="n"/>
      <c r="C207" s="107" t="n"/>
      <c r="D207" s="107" t="n"/>
      <c r="E207" s="133" t="n"/>
      <c r="F207" s="107" t="n"/>
    </row>
    <row r="208">
      <c r="B208" s="132" t="n"/>
      <c r="C208" s="107" t="n"/>
      <c r="D208" s="107" t="n"/>
      <c r="E208" s="133" t="n"/>
      <c r="F208" s="107" t="n"/>
    </row>
    <row r="209">
      <c r="B209" s="132" t="n"/>
      <c r="C209" s="107" t="n"/>
      <c r="D209" s="107" t="n"/>
      <c r="E209" s="133" t="n"/>
      <c r="F209" s="107" t="n"/>
    </row>
    <row r="210">
      <c r="B210" s="132" t="n"/>
      <c r="C210" s="107" t="n"/>
      <c r="D210" s="107" t="n"/>
      <c r="E210" s="133" t="n"/>
      <c r="F210" s="107" t="n"/>
    </row>
    <row r="211">
      <c r="B211" s="132" t="n"/>
      <c r="C211" s="107" t="n"/>
      <c r="D211" s="107" t="n"/>
      <c r="E211" s="133" t="n"/>
      <c r="F211" s="107" t="n"/>
    </row>
    <row r="212">
      <c r="B212" s="132" t="n"/>
      <c r="C212" s="107" t="n"/>
      <c r="D212" s="107" t="n"/>
      <c r="E212" s="133" t="n"/>
      <c r="F212" s="107" t="n"/>
    </row>
    <row r="213">
      <c r="B213" s="132" t="n"/>
      <c r="C213" s="107" t="n"/>
      <c r="D213" s="107" t="n"/>
      <c r="E213" s="133" t="n"/>
      <c r="F213" s="107" t="n"/>
    </row>
    <row r="214">
      <c r="B214" s="132" t="n"/>
      <c r="C214" s="107" t="n"/>
      <c r="D214" s="107" t="n"/>
      <c r="E214" s="133" t="n"/>
      <c r="F214" s="107" t="n"/>
    </row>
    <row r="215">
      <c r="B215" s="132" t="n"/>
      <c r="C215" s="107" t="n"/>
      <c r="D215" s="107" t="n"/>
      <c r="E215" s="133" t="n"/>
      <c r="F215" s="107" t="n"/>
    </row>
    <row r="216">
      <c r="B216" s="132" t="n"/>
      <c r="C216" s="107" t="n"/>
      <c r="D216" s="107" t="n"/>
      <c r="E216" s="133" t="n"/>
      <c r="F216" s="107" t="n"/>
    </row>
    <row r="217">
      <c r="B217" s="132" t="n"/>
      <c r="C217" s="107" t="n"/>
      <c r="D217" s="107" t="n"/>
      <c r="E217" s="133" t="n"/>
      <c r="F217" s="107" t="n"/>
    </row>
    <row r="218">
      <c r="B218" s="132" t="n"/>
      <c r="C218" s="107" t="n"/>
      <c r="D218" s="107" t="n"/>
      <c r="E218" s="133" t="n"/>
      <c r="F218" s="107" t="n"/>
    </row>
    <row r="219">
      <c r="B219" s="132" t="n"/>
      <c r="C219" s="107" t="n"/>
      <c r="D219" s="107" t="n"/>
      <c r="E219" s="133" t="n"/>
      <c r="F219" s="107" t="n"/>
    </row>
    <row r="220">
      <c r="B220" s="132" t="n"/>
      <c r="C220" s="107" t="n"/>
      <c r="D220" s="107" t="n"/>
      <c r="E220" s="133" t="n"/>
      <c r="F220" s="107" t="n"/>
    </row>
    <row r="221">
      <c r="B221" s="132" t="n"/>
      <c r="C221" s="107" t="n"/>
      <c r="D221" s="107" t="n"/>
      <c r="E221" s="133" t="n"/>
      <c r="F221" s="107" t="n"/>
    </row>
    <row r="222">
      <c r="B222" s="132" t="n"/>
      <c r="C222" s="107" t="n"/>
      <c r="D222" s="107" t="n"/>
      <c r="E222" s="133" t="n"/>
      <c r="F222" s="107" t="n"/>
    </row>
    <row r="223">
      <c r="B223" s="132" t="n"/>
      <c r="C223" s="107" t="n"/>
      <c r="D223" s="107" t="n"/>
      <c r="E223" s="133" t="n"/>
      <c r="F223" s="107" t="n"/>
    </row>
    <row r="224">
      <c r="B224" s="132" t="n"/>
      <c r="C224" s="107" t="n"/>
      <c r="D224" s="107" t="n"/>
      <c r="E224" s="133" t="n"/>
      <c r="F224" s="107" t="n"/>
    </row>
    <row r="225">
      <c r="B225" s="132" t="n"/>
      <c r="C225" s="107" t="n"/>
      <c r="D225" s="107" t="n"/>
      <c r="E225" s="133" t="n"/>
      <c r="F225" s="107" t="n"/>
    </row>
    <row r="226">
      <c r="B226" s="132" t="n"/>
      <c r="C226" s="107" t="n"/>
      <c r="D226" s="107" t="n"/>
      <c r="E226" s="133" t="n"/>
      <c r="F226" s="107" t="n"/>
    </row>
    <row r="227">
      <c r="B227" s="132" t="n"/>
      <c r="C227" s="107" t="n"/>
      <c r="D227" s="107" t="n"/>
      <c r="E227" s="133" t="n"/>
      <c r="F227" s="107" t="n"/>
    </row>
    <row r="228">
      <c r="B228" s="132" t="n"/>
      <c r="C228" s="107" t="n"/>
      <c r="D228" s="107" t="n"/>
      <c r="E228" s="133" t="n"/>
      <c r="F228" s="107" t="n"/>
    </row>
    <row r="229">
      <c r="B229" s="132" t="n"/>
      <c r="C229" s="107" t="n"/>
      <c r="D229" s="107" t="n"/>
      <c r="E229" s="133" t="n"/>
      <c r="F229" s="107" t="n"/>
    </row>
    <row r="230">
      <c r="B230" s="132" t="n"/>
      <c r="C230" s="107" t="n"/>
      <c r="D230" s="107" t="n"/>
      <c r="E230" s="133" t="n"/>
      <c r="F230" s="107" t="n"/>
    </row>
    <row r="231">
      <c r="B231" s="132" t="n"/>
      <c r="C231" s="107" t="n"/>
      <c r="D231" s="107" t="n"/>
      <c r="E231" s="133" t="n"/>
      <c r="F231" s="107" t="n"/>
    </row>
    <row r="232">
      <c r="B232" s="132" t="n"/>
      <c r="C232" s="107" t="n"/>
      <c r="D232" s="107" t="n"/>
      <c r="E232" s="133" t="n"/>
      <c r="F232" s="107" t="n"/>
    </row>
    <row r="233">
      <c r="B233" s="132" t="n"/>
      <c r="C233" s="107" t="n"/>
      <c r="D233" s="107" t="n"/>
      <c r="E233" s="133" t="n"/>
      <c r="F233" s="107" t="n"/>
    </row>
    <row r="234">
      <c r="B234" s="132" t="n"/>
      <c r="C234" s="107" t="n"/>
      <c r="D234" s="107" t="n"/>
      <c r="E234" s="133" t="n"/>
      <c r="F234" s="107" t="n"/>
    </row>
    <row r="235">
      <c r="B235" s="132" t="n"/>
      <c r="C235" s="107" t="n"/>
      <c r="D235" s="107" t="n"/>
      <c r="E235" s="133" t="n"/>
      <c r="F235" s="107" t="n"/>
    </row>
    <row r="236">
      <c r="B236" s="132" t="n"/>
      <c r="C236" s="107" t="n"/>
      <c r="D236" s="107" t="n"/>
      <c r="E236" s="133" t="n"/>
      <c r="F236" s="107" t="n"/>
    </row>
    <row r="237">
      <c r="B237" s="132" t="n"/>
      <c r="C237" s="107" t="n"/>
      <c r="D237" s="107" t="n"/>
      <c r="E237" s="133" t="n"/>
      <c r="F237" s="107" t="n"/>
    </row>
    <row r="238">
      <c r="B238" s="132" t="n"/>
      <c r="C238" s="107" t="n"/>
      <c r="D238" s="107" t="n"/>
      <c r="E238" s="133" t="n"/>
      <c r="F238" s="107" t="n"/>
    </row>
    <row r="239">
      <c r="B239" s="132" t="n"/>
      <c r="C239" s="107" t="n"/>
      <c r="D239" s="107" t="n"/>
      <c r="E239" s="133" t="n"/>
      <c r="F239" s="107" t="n"/>
    </row>
    <row r="240">
      <c r="B240" s="132" t="n"/>
      <c r="C240" s="107" t="n"/>
      <c r="D240" s="107" t="n"/>
      <c r="E240" s="133" t="n"/>
      <c r="F240" s="107" t="n"/>
    </row>
    <row r="241">
      <c r="B241" s="132" t="n"/>
      <c r="C241" s="107" t="n"/>
      <c r="D241" s="107" t="n"/>
      <c r="E241" s="133" t="n"/>
      <c r="F241" s="107" t="n"/>
    </row>
    <row r="242">
      <c r="B242" s="132" t="n"/>
      <c r="C242" s="107" t="n"/>
      <c r="D242" s="107" t="n"/>
      <c r="E242" s="133" t="n"/>
      <c r="F242" s="107" t="n"/>
    </row>
    <row r="243">
      <c r="B243" s="132" t="n"/>
      <c r="C243" s="107" t="n"/>
      <c r="D243" s="107" t="n"/>
      <c r="E243" s="133" t="n"/>
      <c r="F243" s="107" t="n"/>
    </row>
    <row r="244">
      <c r="B244" s="132" t="n"/>
      <c r="C244" s="107" t="n"/>
      <c r="D244" s="107" t="n"/>
      <c r="E244" s="133" t="n"/>
      <c r="F244" s="107" t="n"/>
    </row>
    <row r="245">
      <c r="B245" s="132" t="n"/>
      <c r="C245" s="107" t="n"/>
      <c r="D245" s="107" t="n"/>
      <c r="E245" s="133" t="n"/>
      <c r="F245" s="107" t="n"/>
    </row>
    <row r="246">
      <c r="B246" s="132" t="n"/>
      <c r="C246" s="107" t="n"/>
      <c r="D246" s="107" t="n"/>
      <c r="E246" s="133" t="n"/>
      <c r="F246" s="107" t="n"/>
    </row>
    <row r="247">
      <c r="B247" s="132" t="n"/>
      <c r="C247" s="107" t="n"/>
      <c r="D247" s="107" t="n"/>
      <c r="E247" s="133" t="n"/>
      <c r="F247" s="107" t="n"/>
    </row>
    <row r="248">
      <c r="B248" s="132" t="n"/>
      <c r="C248" s="107" t="n"/>
      <c r="D248" s="107" t="n"/>
      <c r="E248" s="133" t="n"/>
      <c r="F248" s="107" t="n"/>
    </row>
    <row r="249">
      <c r="B249" s="132" t="n"/>
      <c r="C249" s="107" t="n"/>
      <c r="D249" s="107" t="n"/>
      <c r="E249" s="133" t="n"/>
      <c r="F249" s="107" t="n"/>
    </row>
    <row r="250">
      <c r="B250" s="132" t="n"/>
      <c r="C250" s="107" t="n"/>
      <c r="D250" s="107" t="n"/>
      <c r="E250" s="133" t="n"/>
      <c r="F250" s="107" t="n"/>
    </row>
    <row r="251">
      <c r="B251" s="132" t="n"/>
      <c r="C251" s="107" t="n"/>
      <c r="D251" s="107" t="n"/>
      <c r="E251" s="133" t="n"/>
      <c r="F251" s="107" t="n"/>
    </row>
    <row r="252">
      <c r="B252" s="132" t="n"/>
      <c r="C252" s="107" t="n"/>
      <c r="D252" s="107" t="n"/>
      <c r="E252" s="133" t="n"/>
      <c r="F252" s="107" t="n"/>
    </row>
    <row r="253">
      <c r="B253" s="132" t="n"/>
      <c r="C253" s="107" t="n"/>
      <c r="D253" s="107" t="n"/>
      <c r="E253" s="133" t="n"/>
      <c r="F253" s="107" t="n"/>
    </row>
    <row r="254">
      <c r="B254" s="132" t="n"/>
      <c r="C254" s="107" t="n"/>
      <c r="D254" s="107" t="n"/>
      <c r="E254" s="133" t="n"/>
      <c r="F254" s="107" t="n"/>
    </row>
    <row r="255">
      <c r="B255" s="132" t="n"/>
      <c r="C255" s="107" t="n"/>
      <c r="D255" s="107" t="n"/>
      <c r="E255" s="133" t="n"/>
      <c r="F255" s="107" t="n"/>
    </row>
    <row r="256">
      <c r="B256" s="132" t="n"/>
      <c r="C256" s="107" t="n"/>
      <c r="D256" s="107" t="n"/>
      <c r="E256" s="133" t="n"/>
      <c r="F256" s="107" t="n"/>
    </row>
    <row r="257">
      <c r="B257" s="132" t="n"/>
      <c r="C257" s="107" t="n"/>
      <c r="D257" s="107" t="n"/>
      <c r="E257" s="133" t="n"/>
      <c r="F257" s="107" t="n"/>
    </row>
    <row r="258">
      <c r="B258" s="132" t="n"/>
      <c r="C258" s="107" t="n"/>
      <c r="D258" s="107" t="n"/>
      <c r="E258" s="133" t="n"/>
      <c r="F258" s="107" t="n"/>
    </row>
    <row r="259">
      <c r="B259" s="132" t="n"/>
      <c r="C259" s="107" t="n"/>
      <c r="D259" s="107" t="n"/>
      <c r="E259" s="133" t="n"/>
      <c r="F259" s="107" t="n"/>
    </row>
    <row r="260">
      <c r="B260" s="132" t="n"/>
      <c r="C260" s="107" t="n"/>
      <c r="D260" s="107" t="n"/>
      <c r="E260" s="133" t="n"/>
      <c r="F260" s="107" t="n"/>
    </row>
    <row r="261">
      <c r="B261" s="132" t="n"/>
      <c r="C261" s="107" t="n"/>
      <c r="D261" s="107" t="n"/>
      <c r="E261" s="133" t="n"/>
      <c r="F261" s="107" t="n"/>
    </row>
    <row r="262">
      <c r="B262" s="132" t="n"/>
      <c r="C262" s="107" t="n"/>
      <c r="D262" s="107" t="n"/>
      <c r="E262" s="133" t="n"/>
      <c r="F262" s="107" t="n"/>
    </row>
    <row r="263">
      <c r="B263" s="132" t="n"/>
      <c r="C263" s="107" t="n"/>
      <c r="D263" s="107" t="n"/>
      <c r="E263" s="133" t="n"/>
      <c r="F263" s="107" t="n"/>
    </row>
    <row r="264">
      <c r="B264" s="132" t="n"/>
      <c r="C264" s="107" t="n"/>
      <c r="D264" s="107" t="n"/>
      <c r="E264" s="133" t="n"/>
      <c r="F264" s="107" t="n"/>
    </row>
    <row r="265">
      <c r="B265" s="132" t="n"/>
      <c r="C265" s="107" t="n"/>
      <c r="D265" s="107" t="n"/>
      <c r="E265" s="133" t="n"/>
      <c r="F265" s="107" t="n"/>
    </row>
    <row r="266">
      <c r="B266" s="132" t="n"/>
      <c r="C266" s="107" t="n"/>
      <c r="D266" s="107" t="n"/>
      <c r="E266" s="133" t="n"/>
      <c r="F266" s="107" t="n"/>
    </row>
    <row r="267">
      <c r="B267" s="132" t="n"/>
      <c r="C267" s="107" t="n"/>
      <c r="D267" s="107" t="n"/>
      <c r="E267" s="133" t="n"/>
      <c r="F267" s="107" t="n"/>
    </row>
    <row r="268">
      <c r="B268" s="132" t="n"/>
      <c r="C268" s="107" t="n"/>
      <c r="D268" s="107" t="n"/>
      <c r="E268" s="133" t="n"/>
      <c r="F268" s="107" t="n"/>
    </row>
    <row r="269">
      <c r="B269" s="132" t="n"/>
      <c r="C269" s="107" t="n"/>
      <c r="D269" s="107" t="n"/>
      <c r="E269" s="133" t="n"/>
      <c r="F269" s="107" t="n"/>
    </row>
    <row r="270">
      <c r="B270" s="132" t="n"/>
      <c r="C270" s="107" t="n"/>
      <c r="D270" s="107" t="n"/>
      <c r="E270" s="133" t="n"/>
      <c r="F270" s="107" t="n"/>
    </row>
    <row r="271">
      <c r="B271" s="132" t="n"/>
      <c r="C271" s="107" t="n"/>
      <c r="D271" s="107" t="n"/>
      <c r="E271" s="133" t="n"/>
      <c r="F271" s="107" t="n"/>
    </row>
    <row r="272">
      <c r="B272" s="132" t="n"/>
      <c r="C272" s="107" t="n"/>
      <c r="D272" s="107" t="n"/>
      <c r="E272" s="133" t="n"/>
      <c r="F272" s="107" t="n"/>
    </row>
    <row r="273">
      <c r="B273" s="132" t="n"/>
      <c r="C273" s="107" t="n"/>
      <c r="D273" s="107" t="n"/>
      <c r="E273" s="133" t="n"/>
      <c r="F273" s="107" t="n"/>
    </row>
    <row r="274">
      <c r="B274" s="132" t="n"/>
      <c r="C274" s="107" t="n"/>
      <c r="D274" s="107" t="n"/>
      <c r="E274" s="133" t="n"/>
      <c r="F274" s="107" t="n"/>
    </row>
    <row r="275">
      <c r="B275" s="132" t="n"/>
      <c r="C275" s="107" t="n"/>
      <c r="D275" s="107" t="n"/>
      <c r="E275" s="133" t="n"/>
      <c r="F275" s="107" t="n"/>
    </row>
    <row r="276">
      <c r="B276" s="132" t="n"/>
      <c r="C276" s="107" t="n"/>
      <c r="D276" s="107" t="n"/>
      <c r="E276" s="133" t="n"/>
      <c r="F276" s="107" t="n"/>
    </row>
    <row r="277">
      <c r="B277" s="132" t="n"/>
      <c r="C277" s="107" t="n"/>
      <c r="D277" s="107" t="n"/>
      <c r="E277" s="133" t="n"/>
      <c r="F277" s="107" t="n"/>
    </row>
    <row r="278">
      <c r="B278" s="132" t="n"/>
      <c r="C278" s="107" t="n"/>
      <c r="D278" s="107" t="n"/>
      <c r="E278" s="133" t="n"/>
      <c r="F278" s="107" t="n"/>
    </row>
    <row r="279">
      <c r="B279" s="132" t="n"/>
      <c r="C279" s="107" t="n"/>
      <c r="D279" s="107" t="n"/>
      <c r="E279" s="133" t="n"/>
      <c r="F279" s="107" t="n"/>
    </row>
    <row r="280">
      <c r="B280" s="132" t="n"/>
      <c r="C280" s="107" t="n"/>
      <c r="D280" s="107" t="n"/>
      <c r="E280" s="133" t="n"/>
      <c r="F280" s="107" t="n"/>
    </row>
    <row r="281">
      <c r="B281" s="132" t="n"/>
      <c r="C281" s="107" t="n"/>
      <c r="D281" s="107" t="n"/>
      <c r="E281" s="133" t="n"/>
      <c r="F281" s="107" t="n"/>
    </row>
    <row r="282">
      <c r="B282" s="132" t="n"/>
      <c r="C282" s="107" t="n"/>
      <c r="D282" s="107" t="n"/>
      <c r="E282" s="133" t="n"/>
      <c r="F282" s="107" t="n"/>
    </row>
    <row r="283">
      <c r="B283" s="132" t="n"/>
      <c r="C283" s="107" t="n"/>
      <c r="D283" s="107" t="n"/>
      <c r="E283" s="133" t="n"/>
      <c r="F283" s="107" t="n"/>
    </row>
    <row r="284">
      <c r="B284" s="132" t="n"/>
      <c r="C284" s="107" t="n"/>
      <c r="D284" s="107" t="n"/>
      <c r="E284" s="133" t="n"/>
      <c r="F284" s="107" t="n"/>
    </row>
    <row r="285">
      <c r="B285" s="132" t="n"/>
      <c r="C285" s="107" t="n"/>
      <c r="D285" s="107" t="n"/>
      <c r="E285" s="133" t="n"/>
      <c r="F285" s="107" t="n"/>
    </row>
    <row r="286">
      <c r="B286" s="132" t="n"/>
      <c r="C286" s="107" t="n"/>
      <c r="D286" s="107" t="n"/>
      <c r="E286" s="133" t="n"/>
      <c r="F286" s="107" t="n"/>
    </row>
    <row r="287">
      <c r="B287" s="132" t="n"/>
      <c r="C287" s="107" t="n"/>
      <c r="D287" s="107" t="n"/>
      <c r="E287" s="133" t="n"/>
      <c r="F287" s="107" t="n"/>
    </row>
    <row r="288">
      <c r="B288" s="132" t="n"/>
      <c r="C288" s="107" t="n"/>
      <c r="D288" s="107" t="n"/>
      <c r="E288" s="133" t="n"/>
      <c r="F288" s="107" t="n"/>
    </row>
    <row r="289">
      <c r="B289" s="132" t="n"/>
      <c r="C289" s="107" t="n"/>
      <c r="D289" s="107" t="n"/>
      <c r="E289" s="133" t="n"/>
      <c r="F289" s="107" t="n"/>
    </row>
    <row r="290">
      <c r="B290" s="132" t="n"/>
      <c r="C290" s="107" t="n"/>
      <c r="D290" s="107" t="n"/>
      <c r="E290" s="133" t="n"/>
      <c r="F290" s="107" t="n"/>
    </row>
    <row r="291">
      <c r="B291" s="132" t="n"/>
      <c r="C291" s="107" t="n"/>
      <c r="D291" s="107" t="n"/>
      <c r="E291" s="133" t="n"/>
      <c r="F291" s="107" t="n"/>
    </row>
    <row r="292">
      <c r="B292" s="132" t="n"/>
      <c r="C292" s="107" t="n"/>
      <c r="D292" s="107" t="n"/>
      <c r="E292" s="133" t="n"/>
      <c r="F292" s="107" t="n"/>
    </row>
    <row r="293">
      <c r="B293" s="132" t="n"/>
      <c r="C293" s="107" t="n"/>
      <c r="D293" s="107" t="n"/>
      <c r="E293" s="133" t="n"/>
      <c r="F293" s="107" t="n"/>
    </row>
    <row r="294">
      <c r="B294" s="132" t="n"/>
      <c r="C294" s="107" t="n"/>
      <c r="D294" s="107" t="n"/>
      <c r="E294" s="133" t="n"/>
      <c r="F294" s="107" t="n"/>
    </row>
    <row r="295">
      <c r="B295" s="132" t="n"/>
      <c r="C295" s="107" t="n"/>
      <c r="D295" s="107" t="n"/>
      <c r="E295" s="133" t="n"/>
      <c r="F295" s="107" t="n"/>
    </row>
    <row r="296">
      <c r="B296" s="132" t="n"/>
      <c r="C296" s="107" t="n"/>
      <c r="D296" s="107" t="n"/>
      <c r="E296" s="133" t="n"/>
      <c r="F296" s="107" t="n"/>
    </row>
    <row r="297">
      <c r="B297" s="132" t="n"/>
      <c r="C297" s="107" t="n"/>
      <c r="D297" s="107" t="n"/>
      <c r="E297" s="133" t="n"/>
      <c r="F297" s="107" t="n"/>
    </row>
    <row r="298">
      <c r="B298" s="132" t="n"/>
      <c r="C298" s="107" t="n"/>
      <c r="D298" s="107" t="n"/>
      <c r="E298" s="133" t="n"/>
      <c r="F298" s="107" t="n"/>
    </row>
    <row r="299">
      <c r="B299" s="132" t="n"/>
      <c r="C299" s="107" t="n"/>
      <c r="D299" s="107" t="n"/>
      <c r="E299" s="133" t="n"/>
      <c r="F299" s="107" t="n"/>
    </row>
    <row r="300">
      <c r="B300" s="132" t="n"/>
      <c r="C300" s="107" t="n"/>
      <c r="D300" s="107" t="n"/>
      <c r="E300" s="133" t="n"/>
      <c r="F300" s="107" t="n"/>
    </row>
    <row r="301">
      <c r="B301" s="132" t="n"/>
      <c r="C301" s="107" t="n"/>
      <c r="D301" s="107" t="n"/>
      <c r="E301" s="133" t="n"/>
      <c r="F301" s="107" t="n"/>
    </row>
    <row r="302">
      <c r="B302" s="132" t="n"/>
      <c r="C302" s="107" t="n"/>
      <c r="D302" s="107" t="n"/>
      <c r="E302" s="133" t="n"/>
      <c r="F302" s="107" t="n"/>
    </row>
    <row r="303">
      <c r="B303" s="132" t="n"/>
      <c r="C303" s="107" t="n"/>
      <c r="D303" s="107" t="n"/>
      <c r="E303" s="133" t="n"/>
      <c r="F303" s="107" t="n"/>
    </row>
    <row r="304">
      <c r="B304" s="132" t="n"/>
      <c r="C304" s="107" t="n"/>
      <c r="D304" s="107" t="n"/>
      <c r="E304" s="133" t="n"/>
      <c r="F304" s="107" t="n"/>
    </row>
    <row r="305">
      <c r="B305" s="132" t="n"/>
      <c r="C305" s="107" t="n"/>
      <c r="D305" s="107" t="n"/>
      <c r="E305" s="133" t="n"/>
      <c r="F305" s="107" t="n"/>
    </row>
    <row r="306">
      <c r="B306" s="132" t="n"/>
      <c r="C306" s="107" t="n"/>
      <c r="D306" s="107" t="n"/>
      <c r="E306" s="133" t="n"/>
      <c r="F306" s="107" t="n"/>
    </row>
    <row r="307">
      <c r="B307" s="132" t="n"/>
      <c r="C307" s="107" t="n"/>
      <c r="D307" s="107" t="n"/>
      <c r="E307" s="133" t="n"/>
      <c r="F307" s="107" t="n"/>
    </row>
    <row r="308">
      <c r="B308" s="132" t="n"/>
      <c r="C308" s="107" t="n"/>
      <c r="D308" s="107" t="n"/>
      <c r="E308" s="133" t="n"/>
      <c r="F308" s="107" t="n"/>
    </row>
    <row r="309">
      <c r="B309" s="132" t="n"/>
      <c r="C309" s="107" t="n"/>
      <c r="D309" s="107" t="n"/>
      <c r="E309" s="133" t="n"/>
      <c r="F309" s="107" t="n"/>
    </row>
    <row r="310">
      <c r="B310" s="132" t="n"/>
      <c r="C310" s="107" t="n"/>
      <c r="D310" s="107" t="n"/>
      <c r="E310" s="133" t="n"/>
      <c r="F310" s="107" t="n"/>
    </row>
    <row r="311">
      <c r="B311" s="132" t="n"/>
      <c r="C311" s="107" t="n"/>
      <c r="D311" s="107" t="n"/>
      <c r="E311" s="133" t="n"/>
      <c r="F311" s="107" t="n"/>
    </row>
    <row r="312">
      <c r="B312" s="132" t="n"/>
      <c r="C312" s="107" t="n"/>
      <c r="D312" s="107" t="n"/>
      <c r="E312" s="133" t="n"/>
      <c r="F312" s="107" t="n"/>
    </row>
    <row r="313">
      <c r="B313" s="132" t="n"/>
      <c r="C313" s="107" t="n"/>
      <c r="D313" s="107" t="n"/>
      <c r="E313" s="133" t="n"/>
      <c r="F313" s="107" t="n"/>
    </row>
    <row r="314">
      <c r="B314" s="132" t="n"/>
      <c r="C314" s="107" t="n"/>
      <c r="D314" s="107" t="n"/>
      <c r="E314" s="133" t="n"/>
      <c r="F314" s="107" t="n"/>
    </row>
    <row r="315">
      <c r="B315" s="132" t="n"/>
      <c r="C315" s="107" t="n"/>
      <c r="D315" s="107" t="n"/>
      <c r="E315" s="133" t="n"/>
      <c r="F315" s="107" t="n"/>
    </row>
    <row r="316">
      <c r="B316" s="132" t="n"/>
      <c r="C316" s="107" t="n"/>
      <c r="D316" s="107" t="n"/>
      <c r="E316" s="133" t="n"/>
      <c r="F316" s="107" t="n"/>
    </row>
    <row r="317">
      <c r="B317" s="132" t="n"/>
      <c r="C317" s="107" t="n"/>
      <c r="D317" s="107" t="n"/>
      <c r="E317" s="133" t="n"/>
      <c r="F317" s="107" t="n"/>
    </row>
    <row r="318">
      <c r="B318" s="132" t="n"/>
      <c r="C318" s="107" t="n"/>
      <c r="D318" s="107" t="n"/>
      <c r="E318" s="133" t="n"/>
      <c r="F318" s="107" t="n"/>
    </row>
    <row r="319">
      <c r="B319" s="132" t="n"/>
      <c r="C319" s="107" t="n"/>
      <c r="D319" s="107" t="n"/>
      <c r="E319" s="133" t="n"/>
      <c r="F319" s="107" t="n"/>
    </row>
    <row r="320">
      <c r="B320" s="132" t="n"/>
      <c r="C320" s="107" t="n"/>
      <c r="D320" s="107" t="n"/>
      <c r="E320" s="133" t="n"/>
      <c r="F320" s="107" t="n"/>
    </row>
    <row r="321">
      <c r="B321" s="132" t="n"/>
      <c r="C321" s="107" t="n"/>
      <c r="D321" s="107" t="n"/>
      <c r="E321" s="133" t="n"/>
      <c r="F321" s="107" t="n"/>
    </row>
  </sheetData>
  <conditionalFormatting sqref="E13">
    <cfRule type="cellIs" priority="1" operator="lessThan" dxfId="15">
      <formula>0</formula>
    </cfRule>
  </conditionalFormatting>
  <dataValidations count="2">
    <dataValidation sqref="C22:C321" showDropDown="0" showInputMessage="0" showErrorMessage="0" allowBlank="1" type="list">
      <formula1>=LST_MOV_BANCO</formula1>
    </dataValidation>
    <dataValidation sqref="E22:E321" showDropDown="0" showInputMessage="0" showErrorMessage="0" allowBlank="1" error="Capture montos positivos; el tipo de movimiento determina si suma o resta." type="decimal" operator="greaterThanOrEqual">
      <formula1>0</formula1>
    </dataValidation>
  </dataValidations>
  <printOptions horizontalCentered="1"/>
  <pageMargins left="0.4" right="0.4" top="1" bottom="1" header="0.5" footer="0.5"/>
  <pageSetup orientation="landscape" fitToHeight="0" fitToWidth="1"/>
  <headerFooter>
    <oddHeader/>
    <oddFooter>&amp;C&amp;8 COTIMIX · Sistema de control financiero ·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0B2545"/>
    <outlinePr summaryBelow="1" summaryRight="1"/>
    <pageSetUpPr fitToPage="1"/>
  </sheetPr>
  <dimension ref="A1:Q33"/>
  <sheetViews>
    <sheetView showGridLines="0" zoomScale="9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8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4" customWidth="1" min="15" max="15"/>
    <col width="3" customWidth="1" min="16" max="16"/>
    <col width="16" customWidth="1" min="17" max="17"/>
  </cols>
  <sheetData>
    <row r="1" ht="34" customHeight="1">
      <c r="A1" s="1" t="n"/>
      <c r="B1" s="2" t="inlineStr">
        <is>
          <t>COTIMIX · ESTADO DE RESULTADOS MENSUAL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20" customHeight="1">
      <c r="A2" s="1" t="n"/>
      <c r="B2" s="3" t="inlineStr">
        <is>
          <t>Se genera automáticamente desde VENTAS, GASTOS y BANCO. Cambie el año en CONFIG.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>
      <c r="B4" s="147">
        <f>"Ejercicio "&amp;CFG_ANIO&amp;"  ·  cifras en USD"</f>
        <v/>
      </c>
    </row>
    <row r="5" hidden="1">
      <c r="C5" s="148">
        <f>DATE(CFG_ANIO,1,1)</f>
        <v/>
      </c>
      <c r="D5" s="148">
        <f>DATE(CFG_ANIO,2,1)</f>
        <v/>
      </c>
      <c r="E5" s="148">
        <f>DATE(CFG_ANIO,3,1)</f>
        <v/>
      </c>
      <c r="F5" s="148">
        <f>DATE(CFG_ANIO,4,1)</f>
        <v/>
      </c>
      <c r="G5" s="148">
        <f>DATE(CFG_ANIO,5,1)</f>
        <v/>
      </c>
      <c r="H5" s="148">
        <f>DATE(CFG_ANIO,6,1)</f>
        <v/>
      </c>
      <c r="I5" s="148">
        <f>DATE(CFG_ANIO,7,1)</f>
        <v/>
      </c>
      <c r="J5" s="148">
        <f>DATE(CFG_ANIO,8,1)</f>
        <v/>
      </c>
      <c r="K5" s="148">
        <f>DATE(CFG_ANIO,9,1)</f>
        <v/>
      </c>
      <c r="L5" s="148">
        <f>DATE(CFG_ANIO,10,1)</f>
        <v/>
      </c>
      <c r="M5" s="148">
        <f>DATE(CFG_ANIO,11,1)</f>
        <v/>
      </c>
      <c r="N5" s="148">
        <f>DATE(CFG_ANIO,12,1)</f>
        <v/>
      </c>
    </row>
    <row r="6" ht="30" customHeight="1">
      <c r="B6" s="95" t="inlineStr">
        <is>
          <t>Concepto</t>
        </is>
      </c>
      <c r="C6" s="95" t="inlineStr">
        <is>
          <t>ENE</t>
        </is>
      </c>
      <c r="D6" s="95" t="inlineStr">
        <is>
          <t>FEB</t>
        </is>
      </c>
      <c r="E6" s="95" t="inlineStr">
        <is>
          <t>MAR</t>
        </is>
      </c>
      <c r="F6" s="95" t="inlineStr">
        <is>
          <t>ABR</t>
        </is>
      </c>
      <c r="G6" s="95" t="inlineStr">
        <is>
          <t>MAY</t>
        </is>
      </c>
      <c r="H6" s="95" t="inlineStr">
        <is>
          <t>JUN</t>
        </is>
      </c>
      <c r="I6" s="95" t="inlineStr">
        <is>
          <t>JUL</t>
        </is>
      </c>
      <c r="J6" s="95" t="inlineStr">
        <is>
          <t>AGO</t>
        </is>
      </c>
      <c r="K6" s="95" t="inlineStr">
        <is>
          <t>SEP</t>
        </is>
      </c>
      <c r="L6" s="95" t="inlineStr">
        <is>
          <t>OCT</t>
        </is>
      </c>
      <c r="M6" s="95" t="inlineStr">
        <is>
          <t>NOV</t>
        </is>
      </c>
      <c r="N6" s="95" t="inlineStr">
        <is>
          <t>DIC</t>
        </is>
      </c>
      <c r="O6" s="95" t="inlineStr">
        <is>
          <t>TOTAL AÑO</t>
        </is>
      </c>
      <c r="Q6" s="149" t="inlineStr">
        <is>
          <t>ACUMULADO
HISTÓRICO</t>
        </is>
      </c>
    </row>
    <row r="7" ht="20" customHeight="1">
      <c r="B7" s="44" t="inlineStr">
        <is>
          <t>INGRESOS</t>
        </is>
      </c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</row>
    <row r="8">
      <c r="B8" s="150" t="inlineStr">
        <is>
          <t>Ventas brutas</t>
        </is>
      </c>
      <c r="C8" s="151">
        <f>SUMIFS(VENTAS!$I$6:$I$505,VENTAS!$B$6:$B$505,"&gt;="&amp;C$5,VENTAS!$B$6:$B$505,"&lt;"&amp;DATE(YEAR(C$5),MONTH(C$5)+1,1))</f>
        <v/>
      </c>
      <c r="D8" s="151">
        <f>SUMIFS(VENTAS!$I$6:$I$505,VENTAS!$B$6:$B$505,"&gt;="&amp;D$5,VENTAS!$B$6:$B$505,"&lt;"&amp;DATE(YEAR(D$5),MONTH(D$5)+1,1))</f>
        <v/>
      </c>
      <c r="E8" s="151">
        <f>SUMIFS(VENTAS!$I$6:$I$505,VENTAS!$B$6:$B$505,"&gt;="&amp;E$5,VENTAS!$B$6:$B$505,"&lt;"&amp;DATE(YEAR(E$5),MONTH(E$5)+1,1))</f>
        <v/>
      </c>
      <c r="F8" s="151">
        <f>SUMIFS(VENTAS!$I$6:$I$505,VENTAS!$B$6:$B$505,"&gt;="&amp;F$5,VENTAS!$B$6:$B$505,"&lt;"&amp;DATE(YEAR(F$5),MONTH(F$5)+1,1))</f>
        <v/>
      </c>
      <c r="G8" s="151">
        <f>SUMIFS(VENTAS!$I$6:$I$505,VENTAS!$B$6:$B$505,"&gt;="&amp;G$5,VENTAS!$B$6:$B$505,"&lt;"&amp;DATE(YEAR(G$5),MONTH(G$5)+1,1))</f>
        <v/>
      </c>
      <c r="H8" s="151">
        <f>SUMIFS(VENTAS!$I$6:$I$505,VENTAS!$B$6:$B$505,"&gt;="&amp;H$5,VENTAS!$B$6:$B$505,"&lt;"&amp;DATE(YEAR(H$5),MONTH(H$5)+1,1))</f>
        <v/>
      </c>
      <c r="I8" s="151">
        <f>SUMIFS(VENTAS!$I$6:$I$505,VENTAS!$B$6:$B$505,"&gt;="&amp;I$5,VENTAS!$B$6:$B$505,"&lt;"&amp;DATE(YEAR(I$5),MONTH(I$5)+1,1))</f>
        <v/>
      </c>
      <c r="J8" s="151">
        <f>SUMIFS(VENTAS!$I$6:$I$505,VENTAS!$B$6:$B$505,"&gt;="&amp;J$5,VENTAS!$B$6:$B$505,"&lt;"&amp;DATE(YEAR(J$5),MONTH(J$5)+1,1))</f>
        <v/>
      </c>
      <c r="K8" s="151">
        <f>SUMIFS(VENTAS!$I$6:$I$505,VENTAS!$B$6:$B$505,"&gt;="&amp;K$5,VENTAS!$B$6:$B$505,"&lt;"&amp;DATE(YEAR(K$5),MONTH(K$5)+1,1))</f>
        <v/>
      </c>
      <c r="L8" s="151">
        <f>SUMIFS(VENTAS!$I$6:$I$505,VENTAS!$B$6:$B$505,"&gt;="&amp;L$5,VENTAS!$B$6:$B$505,"&lt;"&amp;DATE(YEAR(L$5),MONTH(L$5)+1,1))</f>
        <v/>
      </c>
      <c r="M8" s="151">
        <f>SUMIFS(VENTAS!$I$6:$I$505,VENTAS!$B$6:$B$505,"&gt;="&amp;M$5,VENTAS!$B$6:$B$505,"&lt;"&amp;DATE(YEAR(M$5),MONTH(M$5)+1,1))</f>
        <v/>
      </c>
      <c r="N8" s="151">
        <f>SUMIFS(VENTAS!$I$6:$I$505,VENTAS!$B$6:$B$505,"&gt;="&amp;N$5,VENTAS!$B$6:$B$505,"&lt;"&amp;DATE(YEAR(N$5),MONTH(N$5)+1,1))</f>
        <v/>
      </c>
      <c r="O8" s="152">
        <f>SUM(C8:N8)</f>
        <v/>
      </c>
      <c r="Q8" s="153">
        <f>SUM(VENTAS!$I$6:$I$505)</f>
        <v/>
      </c>
    </row>
    <row r="9">
      <c r="B9" s="150" t="inlineStr">
        <is>
          <t>(−) Comisiones Walmart</t>
        </is>
      </c>
      <c r="C9" s="151">
        <f>-SUMIFS(VENTAS!$K$6:$K$505,VENTAS!$B$6:$B$505,"&gt;="&amp;C$5,VENTAS!$B$6:$B$505,"&lt;"&amp;DATE(YEAR(C$5),MONTH(C$5)+1,1))</f>
        <v/>
      </c>
      <c r="D9" s="151">
        <f>-SUMIFS(VENTAS!$K$6:$K$505,VENTAS!$B$6:$B$505,"&gt;="&amp;D$5,VENTAS!$B$6:$B$505,"&lt;"&amp;DATE(YEAR(D$5),MONTH(D$5)+1,1))</f>
        <v/>
      </c>
      <c r="E9" s="151">
        <f>-SUMIFS(VENTAS!$K$6:$K$505,VENTAS!$B$6:$B$505,"&gt;="&amp;E$5,VENTAS!$B$6:$B$505,"&lt;"&amp;DATE(YEAR(E$5),MONTH(E$5)+1,1))</f>
        <v/>
      </c>
      <c r="F9" s="151">
        <f>-SUMIFS(VENTAS!$K$6:$K$505,VENTAS!$B$6:$B$505,"&gt;="&amp;F$5,VENTAS!$B$6:$B$505,"&lt;"&amp;DATE(YEAR(F$5),MONTH(F$5)+1,1))</f>
        <v/>
      </c>
      <c r="G9" s="151">
        <f>-SUMIFS(VENTAS!$K$6:$K$505,VENTAS!$B$6:$B$505,"&gt;="&amp;G$5,VENTAS!$B$6:$B$505,"&lt;"&amp;DATE(YEAR(G$5),MONTH(G$5)+1,1))</f>
        <v/>
      </c>
      <c r="H9" s="151">
        <f>-SUMIFS(VENTAS!$K$6:$K$505,VENTAS!$B$6:$B$505,"&gt;="&amp;H$5,VENTAS!$B$6:$B$505,"&lt;"&amp;DATE(YEAR(H$5),MONTH(H$5)+1,1))</f>
        <v/>
      </c>
      <c r="I9" s="151">
        <f>-SUMIFS(VENTAS!$K$6:$K$505,VENTAS!$B$6:$B$505,"&gt;="&amp;I$5,VENTAS!$B$6:$B$505,"&lt;"&amp;DATE(YEAR(I$5),MONTH(I$5)+1,1))</f>
        <v/>
      </c>
      <c r="J9" s="151">
        <f>-SUMIFS(VENTAS!$K$6:$K$505,VENTAS!$B$6:$B$505,"&gt;="&amp;J$5,VENTAS!$B$6:$B$505,"&lt;"&amp;DATE(YEAR(J$5),MONTH(J$5)+1,1))</f>
        <v/>
      </c>
      <c r="K9" s="151">
        <f>-SUMIFS(VENTAS!$K$6:$K$505,VENTAS!$B$6:$B$505,"&gt;="&amp;K$5,VENTAS!$B$6:$B$505,"&lt;"&amp;DATE(YEAR(K$5),MONTH(K$5)+1,1))</f>
        <v/>
      </c>
      <c r="L9" s="151">
        <f>-SUMIFS(VENTAS!$K$6:$K$505,VENTAS!$B$6:$B$505,"&gt;="&amp;L$5,VENTAS!$B$6:$B$505,"&lt;"&amp;DATE(YEAR(L$5),MONTH(L$5)+1,1))</f>
        <v/>
      </c>
      <c r="M9" s="151">
        <f>-SUMIFS(VENTAS!$K$6:$K$505,VENTAS!$B$6:$B$505,"&gt;="&amp;M$5,VENTAS!$B$6:$B$505,"&lt;"&amp;DATE(YEAR(M$5),MONTH(M$5)+1,1))</f>
        <v/>
      </c>
      <c r="N9" s="151">
        <f>-SUMIFS(VENTAS!$K$6:$K$505,VENTAS!$B$6:$B$505,"&gt;="&amp;N$5,VENTAS!$B$6:$B$505,"&lt;"&amp;DATE(YEAR(N$5),MONTH(N$5)+1,1))</f>
        <v/>
      </c>
      <c r="O9" s="152">
        <f>SUM(C9:N9)</f>
        <v/>
      </c>
      <c r="Q9" s="153">
        <f>-SUM(VENTAS!$K$6:$K$505)</f>
        <v/>
      </c>
    </row>
    <row r="10">
      <c r="B10" s="150" t="inlineStr">
        <is>
          <t>(−) Envíos y cargos Walmart</t>
        </is>
      </c>
      <c r="C10" s="151">
        <f>-SUMIFS(VENTAS!$L$6:$L$505,VENTAS!$B$6:$B$505,"&gt;="&amp;C$5,VENTAS!$B$6:$B$505,"&lt;"&amp;DATE(YEAR(C$5),MONTH(C$5)+1,1))</f>
        <v/>
      </c>
      <c r="D10" s="151">
        <f>-SUMIFS(VENTAS!$L$6:$L$505,VENTAS!$B$6:$B$505,"&gt;="&amp;D$5,VENTAS!$B$6:$B$505,"&lt;"&amp;DATE(YEAR(D$5),MONTH(D$5)+1,1))</f>
        <v/>
      </c>
      <c r="E10" s="151">
        <f>-SUMIFS(VENTAS!$L$6:$L$505,VENTAS!$B$6:$B$505,"&gt;="&amp;E$5,VENTAS!$B$6:$B$505,"&lt;"&amp;DATE(YEAR(E$5),MONTH(E$5)+1,1))</f>
        <v/>
      </c>
      <c r="F10" s="151">
        <f>-SUMIFS(VENTAS!$L$6:$L$505,VENTAS!$B$6:$B$505,"&gt;="&amp;F$5,VENTAS!$B$6:$B$505,"&lt;"&amp;DATE(YEAR(F$5),MONTH(F$5)+1,1))</f>
        <v/>
      </c>
      <c r="G10" s="151">
        <f>-SUMIFS(VENTAS!$L$6:$L$505,VENTAS!$B$6:$B$505,"&gt;="&amp;G$5,VENTAS!$B$6:$B$505,"&lt;"&amp;DATE(YEAR(G$5),MONTH(G$5)+1,1))</f>
        <v/>
      </c>
      <c r="H10" s="151">
        <f>-SUMIFS(VENTAS!$L$6:$L$505,VENTAS!$B$6:$B$505,"&gt;="&amp;H$5,VENTAS!$B$6:$B$505,"&lt;"&amp;DATE(YEAR(H$5),MONTH(H$5)+1,1))</f>
        <v/>
      </c>
      <c r="I10" s="151">
        <f>-SUMIFS(VENTAS!$L$6:$L$505,VENTAS!$B$6:$B$505,"&gt;="&amp;I$5,VENTAS!$B$6:$B$505,"&lt;"&amp;DATE(YEAR(I$5),MONTH(I$5)+1,1))</f>
        <v/>
      </c>
      <c r="J10" s="151">
        <f>-SUMIFS(VENTAS!$L$6:$L$505,VENTAS!$B$6:$B$505,"&gt;="&amp;J$5,VENTAS!$B$6:$B$505,"&lt;"&amp;DATE(YEAR(J$5),MONTH(J$5)+1,1))</f>
        <v/>
      </c>
      <c r="K10" s="151">
        <f>-SUMIFS(VENTAS!$L$6:$L$505,VENTAS!$B$6:$B$505,"&gt;="&amp;K$5,VENTAS!$B$6:$B$505,"&lt;"&amp;DATE(YEAR(K$5),MONTH(K$5)+1,1))</f>
        <v/>
      </c>
      <c r="L10" s="151">
        <f>-SUMIFS(VENTAS!$L$6:$L$505,VENTAS!$B$6:$B$505,"&gt;="&amp;L$5,VENTAS!$B$6:$B$505,"&lt;"&amp;DATE(YEAR(L$5),MONTH(L$5)+1,1))</f>
        <v/>
      </c>
      <c r="M10" s="151">
        <f>-SUMIFS(VENTAS!$L$6:$L$505,VENTAS!$B$6:$B$505,"&gt;="&amp;M$5,VENTAS!$B$6:$B$505,"&lt;"&amp;DATE(YEAR(M$5),MONTH(M$5)+1,1))</f>
        <v/>
      </c>
      <c r="N10" s="151">
        <f>-SUMIFS(VENTAS!$L$6:$L$505,VENTAS!$B$6:$B$505,"&gt;="&amp;N$5,VENTAS!$B$6:$B$505,"&lt;"&amp;DATE(YEAR(N$5),MONTH(N$5)+1,1))</f>
        <v/>
      </c>
      <c r="O10" s="152">
        <f>SUM(C10:N10)</f>
        <v/>
      </c>
      <c r="Q10" s="153">
        <f>-SUM(VENTAS!$L$6:$L$505)</f>
        <v/>
      </c>
    </row>
    <row r="11">
      <c r="B11" s="154" t="inlineStr">
        <is>
          <t>INGRESOS NETOS</t>
        </is>
      </c>
      <c r="C11" s="155">
        <f>SUM(C8:C10)</f>
        <v/>
      </c>
      <c r="D11" s="155">
        <f>SUM(D8:D10)</f>
        <v/>
      </c>
      <c r="E11" s="155">
        <f>SUM(E8:E10)</f>
        <v/>
      </c>
      <c r="F11" s="155">
        <f>SUM(F8:F10)</f>
        <v/>
      </c>
      <c r="G11" s="155">
        <f>SUM(G8:G10)</f>
        <v/>
      </c>
      <c r="H11" s="155">
        <f>SUM(H8:H10)</f>
        <v/>
      </c>
      <c r="I11" s="155">
        <f>SUM(I8:I10)</f>
        <v/>
      </c>
      <c r="J11" s="155">
        <f>SUM(J8:J10)</f>
        <v/>
      </c>
      <c r="K11" s="155">
        <f>SUM(K8:K10)</f>
        <v/>
      </c>
      <c r="L11" s="155">
        <f>SUM(L8:L10)</f>
        <v/>
      </c>
      <c r="M11" s="155">
        <f>SUM(M8:M10)</f>
        <v/>
      </c>
      <c r="N11" s="155">
        <f>SUM(N8:N10)</f>
        <v/>
      </c>
      <c r="O11" s="155">
        <f>SUM(C11:N11)</f>
        <v/>
      </c>
      <c r="Q11" s="153">
        <f>SUM(Q8:Q10)</f>
        <v/>
      </c>
    </row>
    <row r="12">
      <c r="B12" s="150" t="inlineStr">
        <is>
          <t>(−) Costo de ventas (costo real)</t>
        </is>
      </c>
      <c r="C12" s="151">
        <f>-SUMIFS(VENTAS!$O$6:$O$505,VENTAS!$B$6:$B$505,"&gt;="&amp;C$5,VENTAS!$B$6:$B$505,"&lt;"&amp;DATE(YEAR(C$5),MONTH(C$5)+1,1))</f>
        <v/>
      </c>
      <c r="D12" s="151">
        <f>-SUMIFS(VENTAS!$O$6:$O$505,VENTAS!$B$6:$B$505,"&gt;="&amp;D$5,VENTAS!$B$6:$B$505,"&lt;"&amp;DATE(YEAR(D$5),MONTH(D$5)+1,1))</f>
        <v/>
      </c>
      <c r="E12" s="151">
        <f>-SUMIFS(VENTAS!$O$6:$O$505,VENTAS!$B$6:$B$505,"&gt;="&amp;E$5,VENTAS!$B$6:$B$505,"&lt;"&amp;DATE(YEAR(E$5),MONTH(E$5)+1,1))</f>
        <v/>
      </c>
      <c r="F12" s="151">
        <f>-SUMIFS(VENTAS!$O$6:$O$505,VENTAS!$B$6:$B$505,"&gt;="&amp;F$5,VENTAS!$B$6:$B$505,"&lt;"&amp;DATE(YEAR(F$5),MONTH(F$5)+1,1))</f>
        <v/>
      </c>
      <c r="G12" s="151">
        <f>-SUMIFS(VENTAS!$O$6:$O$505,VENTAS!$B$6:$B$505,"&gt;="&amp;G$5,VENTAS!$B$6:$B$505,"&lt;"&amp;DATE(YEAR(G$5),MONTH(G$5)+1,1))</f>
        <v/>
      </c>
      <c r="H12" s="151">
        <f>-SUMIFS(VENTAS!$O$6:$O$505,VENTAS!$B$6:$B$505,"&gt;="&amp;H$5,VENTAS!$B$6:$B$505,"&lt;"&amp;DATE(YEAR(H$5),MONTH(H$5)+1,1))</f>
        <v/>
      </c>
      <c r="I12" s="151">
        <f>-SUMIFS(VENTAS!$O$6:$O$505,VENTAS!$B$6:$B$505,"&gt;="&amp;I$5,VENTAS!$B$6:$B$505,"&lt;"&amp;DATE(YEAR(I$5),MONTH(I$5)+1,1))</f>
        <v/>
      </c>
      <c r="J12" s="151">
        <f>-SUMIFS(VENTAS!$O$6:$O$505,VENTAS!$B$6:$B$505,"&gt;="&amp;J$5,VENTAS!$B$6:$B$505,"&lt;"&amp;DATE(YEAR(J$5),MONTH(J$5)+1,1))</f>
        <v/>
      </c>
      <c r="K12" s="151">
        <f>-SUMIFS(VENTAS!$O$6:$O$505,VENTAS!$B$6:$B$505,"&gt;="&amp;K$5,VENTAS!$B$6:$B$505,"&lt;"&amp;DATE(YEAR(K$5),MONTH(K$5)+1,1))</f>
        <v/>
      </c>
      <c r="L12" s="151">
        <f>-SUMIFS(VENTAS!$O$6:$O$505,VENTAS!$B$6:$B$505,"&gt;="&amp;L$5,VENTAS!$B$6:$B$505,"&lt;"&amp;DATE(YEAR(L$5),MONTH(L$5)+1,1))</f>
        <v/>
      </c>
      <c r="M12" s="151">
        <f>-SUMIFS(VENTAS!$O$6:$O$505,VENTAS!$B$6:$B$505,"&gt;="&amp;M$5,VENTAS!$B$6:$B$505,"&lt;"&amp;DATE(YEAR(M$5),MONTH(M$5)+1,1))</f>
        <v/>
      </c>
      <c r="N12" s="151">
        <f>-SUMIFS(VENTAS!$O$6:$O$505,VENTAS!$B$6:$B$505,"&gt;="&amp;N$5,VENTAS!$B$6:$B$505,"&lt;"&amp;DATE(YEAR(N$5),MONTH(N$5)+1,1))</f>
        <v/>
      </c>
      <c r="O12" s="152">
        <f>SUM(C12:N12)</f>
        <v/>
      </c>
      <c r="Q12" s="153">
        <f>-SUM(VENTAS!$O$6:$O$505)</f>
        <v/>
      </c>
    </row>
    <row r="13">
      <c r="B13" s="154" t="inlineStr">
        <is>
          <t>UTILIDAD BRUTA</t>
        </is>
      </c>
      <c r="C13" s="155">
        <f>C11+C12</f>
        <v/>
      </c>
      <c r="D13" s="155">
        <f>D11+D12</f>
        <v/>
      </c>
      <c r="E13" s="155">
        <f>E11+E12</f>
        <v/>
      </c>
      <c r="F13" s="155">
        <f>F11+F12</f>
        <v/>
      </c>
      <c r="G13" s="155">
        <f>G11+G12</f>
        <v/>
      </c>
      <c r="H13" s="155">
        <f>H11+H12</f>
        <v/>
      </c>
      <c r="I13" s="155">
        <f>I11+I12</f>
        <v/>
      </c>
      <c r="J13" s="155">
        <f>J11+J12</f>
        <v/>
      </c>
      <c r="K13" s="155">
        <f>K11+K12</f>
        <v/>
      </c>
      <c r="L13" s="155">
        <f>L11+L12</f>
        <v/>
      </c>
      <c r="M13" s="155">
        <f>M11+M12</f>
        <v/>
      </c>
      <c r="N13" s="155">
        <f>N11+N12</f>
        <v/>
      </c>
      <c r="O13" s="155">
        <f>SUM(C13:N13)</f>
        <v/>
      </c>
      <c r="Q13" s="153">
        <f>Q11+Q12</f>
        <v/>
      </c>
    </row>
    <row r="14">
      <c r="B14" s="156" t="inlineStr">
        <is>
          <t>Margen bruto %</t>
        </is>
      </c>
      <c r="C14" s="157">
        <f>IF(C8&gt;0,C13/C8,0)</f>
        <v/>
      </c>
      <c r="D14" s="157">
        <f>IF(D8&gt;0,D13/D8,0)</f>
        <v/>
      </c>
      <c r="E14" s="157">
        <f>IF(E8&gt;0,E13/E8,0)</f>
        <v/>
      </c>
      <c r="F14" s="157">
        <f>IF(F8&gt;0,F13/F8,0)</f>
        <v/>
      </c>
      <c r="G14" s="157">
        <f>IF(G8&gt;0,G13/G8,0)</f>
        <v/>
      </c>
      <c r="H14" s="157">
        <f>IF(H8&gt;0,H13/H8,0)</f>
        <v/>
      </c>
      <c r="I14" s="157">
        <f>IF(I8&gt;0,I13/I8,0)</f>
        <v/>
      </c>
      <c r="J14" s="157">
        <f>IF(J8&gt;0,J13/J8,0)</f>
        <v/>
      </c>
      <c r="K14" s="157">
        <f>IF(K8&gt;0,K13/K8,0)</f>
        <v/>
      </c>
      <c r="L14" s="157">
        <f>IF(L8&gt;0,L13/L8,0)</f>
        <v/>
      </c>
      <c r="M14" s="157">
        <f>IF(M8&gt;0,M13/M8,0)</f>
        <v/>
      </c>
      <c r="N14" s="157">
        <f>IF(N8&gt;0,N13/N8,0)</f>
        <v/>
      </c>
      <c r="O14" s="158">
        <f>IF(O8&gt;0,O13/O8,0)</f>
        <v/>
      </c>
      <c r="Q14" s="159">
        <f>IF(Q8&gt;0,Q13/Q8,0)</f>
        <v/>
      </c>
    </row>
    <row r="15" ht="20" customHeight="1">
      <c r="B15" s="44" t="inlineStr">
        <is>
          <t>GASTOS OPERATIVOS</t>
        </is>
      </c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</row>
    <row r="16">
      <c r="B16" s="150" t="inlineStr">
        <is>
          <t>Publicidad (Walmart Sponsored)</t>
        </is>
      </c>
      <c r="C16" s="151">
        <f>-SUMIFS(GASTOS!$J$6:$J$305,GASTOS!$C$6:$C$305,"Publicidad (Walmart Sponsored)",GASTOS!$B$6:$B$305,"&gt;="&amp;C$5,GASTOS!$B$6:$B$305,"&lt;"&amp;DATE(YEAR(C$5),MONTH(C$5)+1,1))</f>
        <v/>
      </c>
      <c r="D16" s="151">
        <f>-SUMIFS(GASTOS!$J$6:$J$305,GASTOS!$C$6:$C$305,"Publicidad (Walmart Sponsored)",GASTOS!$B$6:$B$305,"&gt;="&amp;D$5,GASTOS!$B$6:$B$305,"&lt;"&amp;DATE(YEAR(D$5),MONTH(D$5)+1,1))</f>
        <v/>
      </c>
      <c r="E16" s="151">
        <f>-SUMIFS(GASTOS!$J$6:$J$305,GASTOS!$C$6:$C$305,"Publicidad (Walmart Sponsored)",GASTOS!$B$6:$B$305,"&gt;="&amp;E$5,GASTOS!$B$6:$B$305,"&lt;"&amp;DATE(YEAR(E$5),MONTH(E$5)+1,1))</f>
        <v/>
      </c>
      <c r="F16" s="151">
        <f>-SUMIFS(GASTOS!$J$6:$J$305,GASTOS!$C$6:$C$305,"Publicidad (Walmart Sponsored)",GASTOS!$B$6:$B$305,"&gt;="&amp;F$5,GASTOS!$B$6:$B$305,"&lt;"&amp;DATE(YEAR(F$5),MONTH(F$5)+1,1))</f>
        <v/>
      </c>
      <c r="G16" s="151">
        <f>-SUMIFS(GASTOS!$J$6:$J$305,GASTOS!$C$6:$C$305,"Publicidad (Walmart Sponsored)",GASTOS!$B$6:$B$305,"&gt;="&amp;G$5,GASTOS!$B$6:$B$305,"&lt;"&amp;DATE(YEAR(G$5),MONTH(G$5)+1,1))</f>
        <v/>
      </c>
      <c r="H16" s="151">
        <f>-SUMIFS(GASTOS!$J$6:$J$305,GASTOS!$C$6:$C$305,"Publicidad (Walmart Sponsored)",GASTOS!$B$6:$B$305,"&gt;="&amp;H$5,GASTOS!$B$6:$B$305,"&lt;"&amp;DATE(YEAR(H$5),MONTH(H$5)+1,1))</f>
        <v/>
      </c>
      <c r="I16" s="151">
        <f>-SUMIFS(GASTOS!$J$6:$J$305,GASTOS!$C$6:$C$305,"Publicidad (Walmart Sponsored)",GASTOS!$B$6:$B$305,"&gt;="&amp;I$5,GASTOS!$B$6:$B$305,"&lt;"&amp;DATE(YEAR(I$5),MONTH(I$5)+1,1))</f>
        <v/>
      </c>
      <c r="J16" s="151">
        <f>-SUMIFS(GASTOS!$J$6:$J$305,GASTOS!$C$6:$C$305,"Publicidad (Walmart Sponsored)",GASTOS!$B$6:$B$305,"&gt;="&amp;J$5,GASTOS!$B$6:$B$305,"&lt;"&amp;DATE(YEAR(J$5),MONTH(J$5)+1,1))</f>
        <v/>
      </c>
      <c r="K16" s="151">
        <f>-SUMIFS(GASTOS!$J$6:$J$305,GASTOS!$C$6:$C$305,"Publicidad (Walmart Sponsored)",GASTOS!$B$6:$B$305,"&gt;="&amp;K$5,GASTOS!$B$6:$B$305,"&lt;"&amp;DATE(YEAR(K$5),MONTH(K$5)+1,1))</f>
        <v/>
      </c>
      <c r="L16" s="151">
        <f>-SUMIFS(GASTOS!$J$6:$J$305,GASTOS!$C$6:$C$305,"Publicidad (Walmart Sponsored)",GASTOS!$B$6:$B$305,"&gt;="&amp;L$5,GASTOS!$B$6:$B$305,"&lt;"&amp;DATE(YEAR(L$5),MONTH(L$5)+1,1))</f>
        <v/>
      </c>
      <c r="M16" s="151">
        <f>-SUMIFS(GASTOS!$J$6:$J$305,GASTOS!$C$6:$C$305,"Publicidad (Walmart Sponsored)",GASTOS!$B$6:$B$305,"&gt;="&amp;M$5,GASTOS!$B$6:$B$305,"&lt;"&amp;DATE(YEAR(M$5),MONTH(M$5)+1,1))</f>
        <v/>
      </c>
      <c r="N16" s="151">
        <f>-SUMIFS(GASTOS!$J$6:$J$305,GASTOS!$C$6:$C$305,"Publicidad (Walmart Sponsored)",GASTOS!$B$6:$B$305,"&gt;="&amp;N$5,GASTOS!$B$6:$B$305,"&lt;"&amp;DATE(YEAR(N$5),MONTH(N$5)+1,1))</f>
        <v/>
      </c>
      <c r="O16" s="152">
        <f>SUM(C16:N16)</f>
        <v/>
      </c>
      <c r="Q16" s="153">
        <f>-SUMIFS(GASTOS!$J$6:$J$305,GASTOS!$C$6:$C$305,"Publicidad (Walmart Sponsored)")</f>
        <v/>
      </c>
    </row>
    <row r="17">
      <c r="B17" s="150" t="inlineStr">
        <is>
          <t>Envíos y logística</t>
        </is>
      </c>
      <c r="C17" s="151">
        <f>-SUMIFS(GASTOS!$J$6:$J$305,GASTOS!$C$6:$C$305,"Envíos y logística",GASTOS!$B$6:$B$305,"&gt;="&amp;C$5,GASTOS!$B$6:$B$305,"&lt;"&amp;DATE(YEAR(C$5),MONTH(C$5)+1,1))</f>
        <v/>
      </c>
      <c r="D17" s="151">
        <f>-SUMIFS(GASTOS!$J$6:$J$305,GASTOS!$C$6:$C$305,"Envíos y logística",GASTOS!$B$6:$B$305,"&gt;="&amp;D$5,GASTOS!$B$6:$B$305,"&lt;"&amp;DATE(YEAR(D$5),MONTH(D$5)+1,1))</f>
        <v/>
      </c>
      <c r="E17" s="151">
        <f>-SUMIFS(GASTOS!$J$6:$J$305,GASTOS!$C$6:$C$305,"Envíos y logística",GASTOS!$B$6:$B$305,"&gt;="&amp;E$5,GASTOS!$B$6:$B$305,"&lt;"&amp;DATE(YEAR(E$5),MONTH(E$5)+1,1))</f>
        <v/>
      </c>
      <c r="F17" s="151">
        <f>-SUMIFS(GASTOS!$J$6:$J$305,GASTOS!$C$6:$C$305,"Envíos y logística",GASTOS!$B$6:$B$305,"&gt;="&amp;F$5,GASTOS!$B$6:$B$305,"&lt;"&amp;DATE(YEAR(F$5),MONTH(F$5)+1,1))</f>
        <v/>
      </c>
      <c r="G17" s="151">
        <f>-SUMIFS(GASTOS!$J$6:$J$305,GASTOS!$C$6:$C$305,"Envíos y logística",GASTOS!$B$6:$B$305,"&gt;="&amp;G$5,GASTOS!$B$6:$B$305,"&lt;"&amp;DATE(YEAR(G$5),MONTH(G$5)+1,1))</f>
        <v/>
      </c>
      <c r="H17" s="151">
        <f>-SUMIFS(GASTOS!$J$6:$J$305,GASTOS!$C$6:$C$305,"Envíos y logística",GASTOS!$B$6:$B$305,"&gt;="&amp;H$5,GASTOS!$B$6:$B$305,"&lt;"&amp;DATE(YEAR(H$5),MONTH(H$5)+1,1))</f>
        <v/>
      </c>
      <c r="I17" s="151">
        <f>-SUMIFS(GASTOS!$J$6:$J$305,GASTOS!$C$6:$C$305,"Envíos y logística",GASTOS!$B$6:$B$305,"&gt;="&amp;I$5,GASTOS!$B$6:$B$305,"&lt;"&amp;DATE(YEAR(I$5),MONTH(I$5)+1,1))</f>
        <v/>
      </c>
      <c r="J17" s="151">
        <f>-SUMIFS(GASTOS!$J$6:$J$305,GASTOS!$C$6:$C$305,"Envíos y logística",GASTOS!$B$6:$B$305,"&gt;="&amp;J$5,GASTOS!$B$6:$B$305,"&lt;"&amp;DATE(YEAR(J$5),MONTH(J$5)+1,1))</f>
        <v/>
      </c>
      <c r="K17" s="151">
        <f>-SUMIFS(GASTOS!$J$6:$J$305,GASTOS!$C$6:$C$305,"Envíos y logística",GASTOS!$B$6:$B$305,"&gt;="&amp;K$5,GASTOS!$B$6:$B$305,"&lt;"&amp;DATE(YEAR(K$5),MONTH(K$5)+1,1))</f>
        <v/>
      </c>
      <c r="L17" s="151">
        <f>-SUMIFS(GASTOS!$J$6:$J$305,GASTOS!$C$6:$C$305,"Envíos y logística",GASTOS!$B$6:$B$305,"&gt;="&amp;L$5,GASTOS!$B$6:$B$305,"&lt;"&amp;DATE(YEAR(L$5),MONTH(L$5)+1,1))</f>
        <v/>
      </c>
      <c r="M17" s="151">
        <f>-SUMIFS(GASTOS!$J$6:$J$305,GASTOS!$C$6:$C$305,"Envíos y logística",GASTOS!$B$6:$B$305,"&gt;="&amp;M$5,GASTOS!$B$6:$B$305,"&lt;"&amp;DATE(YEAR(M$5),MONTH(M$5)+1,1))</f>
        <v/>
      </c>
      <c r="N17" s="151">
        <f>-SUMIFS(GASTOS!$J$6:$J$305,GASTOS!$C$6:$C$305,"Envíos y logística",GASTOS!$B$6:$B$305,"&gt;="&amp;N$5,GASTOS!$B$6:$B$305,"&lt;"&amp;DATE(YEAR(N$5),MONTH(N$5)+1,1))</f>
        <v/>
      </c>
      <c r="O17" s="152">
        <f>SUM(C17:N17)</f>
        <v/>
      </c>
      <c r="Q17" s="153">
        <f>-SUMIFS(GASTOS!$J$6:$J$305,GASTOS!$C$6:$C$305,"Envíos y logística")</f>
        <v/>
      </c>
    </row>
    <row r="18">
      <c r="B18" s="150" t="inlineStr">
        <is>
          <t>Fulfillment / WFS</t>
        </is>
      </c>
      <c r="C18" s="151">
        <f>-SUMIFS(GASTOS!$J$6:$J$305,GASTOS!$C$6:$C$305,"Fulfillment / WFS",GASTOS!$B$6:$B$305,"&gt;="&amp;C$5,GASTOS!$B$6:$B$305,"&lt;"&amp;DATE(YEAR(C$5),MONTH(C$5)+1,1))</f>
        <v/>
      </c>
      <c r="D18" s="151">
        <f>-SUMIFS(GASTOS!$J$6:$J$305,GASTOS!$C$6:$C$305,"Fulfillment / WFS",GASTOS!$B$6:$B$305,"&gt;="&amp;D$5,GASTOS!$B$6:$B$305,"&lt;"&amp;DATE(YEAR(D$5),MONTH(D$5)+1,1))</f>
        <v/>
      </c>
      <c r="E18" s="151">
        <f>-SUMIFS(GASTOS!$J$6:$J$305,GASTOS!$C$6:$C$305,"Fulfillment / WFS",GASTOS!$B$6:$B$305,"&gt;="&amp;E$5,GASTOS!$B$6:$B$305,"&lt;"&amp;DATE(YEAR(E$5),MONTH(E$5)+1,1))</f>
        <v/>
      </c>
      <c r="F18" s="151">
        <f>-SUMIFS(GASTOS!$J$6:$J$305,GASTOS!$C$6:$C$305,"Fulfillment / WFS",GASTOS!$B$6:$B$305,"&gt;="&amp;F$5,GASTOS!$B$6:$B$305,"&lt;"&amp;DATE(YEAR(F$5),MONTH(F$5)+1,1))</f>
        <v/>
      </c>
      <c r="G18" s="151">
        <f>-SUMIFS(GASTOS!$J$6:$J$305,GASTOS!$C$6:$C$305,"Fulfillment / WFS",GASTOS!$B$6:$B$305,"&gt;="&amp;G$5,GASTOS!$B$6:$B$305,"&lt;"&amp;DATE(YEAR(G$5),MONTH(G$5)+1,1))</f>
        <v/>
      </c>
      <c r="H18" s="151">
        <f>-SUMIFS(GASTOS!$J$6:$J$305,GASTOS!$C$6:$C$305,"Fulfillment / WFS",GASTOS!$B$6:$B$305,"&gt;="&amp;H$5,GASTOS!$B$6:$B$305,"&lt;"&amp;DATE(YEAR(H$5),MONTH(H$5)+1,1))</f>
        <v/>
      </c>
      <c r="I18" s="151">
        <f>-SUMIFS(GASTOS!$J$6:$J$305,GASTOS!$C$6:$C$305,"Fulfillment / WFS",GASTOS!$B$6:$B$305,"&gt;="&amp;I$5,GASTOS!$B$6:$B$305,"&lt;"&amp;DATE(YEAR(I$5),MONTH(I$5)+1,1))</f>
        <v/>
      </c>
      <c r="J18" s="151">
        <f>-SUMIFS(GASTOS!$J$6:$J$305,GASTOS!$C$6:$C$305,"Fulfillment / WFS",GASTOS!$B$6:$B$305,"&gt;="&amp;J$5,GASTOS!$B$6:$B$305,"&lt;"&amp;DATE(YEAR(J$5),MONTH(J$5)+1,1))</f>
        <v/>
      </c>
      <c r="K18" s="151">
        <f>-SUMIFS(GASTOS!$J$6:$J$305,GASTOS!$C$6:$C$305,"Fulfillment / WFS",GASTOS!$B$6:$B$305,"&gt;="&amp;K$5,GASTOS!$B$6:$B$305,"&lt;"&amp;DATE(YEAR(K$5),MONTH(K$5)+1,1))</f>
        <v/>
      </c>
      <c r="L18" s="151">
        <f>-SUMIFS(GASTOS!$J$6:$J$305,GASTOS!$C$6:$C$305,"Fulfillment / WFS",GASTOS!$B$6:$B$305,"&gt;="&amp;L$5,GASTOS!$B$6:$B$305,"&lt;"&amp;DATE(YEAR(L$5),MONTH(L$5)+1,1))</f>
        <v/>
      </c>
      <c r="M18" s="151">
        <f>-SUMIFS(GASTOS!$J$6:$J$305,GASTOS!$C$6:$C$305,"Fulfillment / WFS",GASTOS!$B$6:$B$305,"&gt;="&amp;M$5,GASTOS!$B$6:$B$305,"&lt;"&amp;DATE(YEAR(M$5),MONTH(M$5)+1,1))</f>
        <v/>
      </c>
      <c r="N18" s="151">
        <f>-SUMIFS(GASTOS!$J$6:$J$305,GASTOS!$C$6:$C$305,"Fulfillment / WFS",GASTOS!$B$6:$B$305,"&gt;="&amp;N$5,GASTOS!$B$6:$B$305,"&lt;"&amp;DATE(YEAR(N$5),MONTH(N$5)+1,1))</f>
        <v/>
      </c>
      <c r="O18" s="152">
        <f>SUM(C18:N18)</f>
        <v/>
      </c>
      <c r="Q18" s="153">
        <f>-SUMIFS(GASTOS!$J$6:$J$305,GASTOS!$C$6:$C$305,"Fulfillment / WFS")</f>
        <v/>
      </c>
    </row>
    <row r="19">
      <c r="B19" s="150" t="inlineStr">
        <is>
          <t>Empaque y suministros</t>
        </is>
      </c>
      <c r="C19" s="151">
        <f>-SUMIFS(GASTOS!$J$6:$J$305,GASTOS!$C$6:$C$305,"Empaque y suministros",GASTOS!$B$6:$B$305,"&gt;="&amp;C$5,GASTOS!$B$6:$B$305,"&lt;"&amp;DATE(YEAR(C$5),MONTH(C$5)+1,1))</f>
        <v/>
      </c>
      <c r="D19" s="151">
        <f>-SUMIFS(GASTOS!$J$6:$J$305,GASTOS!$C$6:$C$305,"Empaque y suministros",GASTOS!$B$6:$B$305,"&gt;="&amp;D$5,GASTOS!$B$6:$B$305,"&lt;"&amp;DATE(YEAR(D$5),MONTH(D$5)+1,1))</f>
        <v/>
      </c>
      <c r="E19" s="151">
        <f>-SUMIFS(GASTOS!$J$6:$J$305,GASTOS!$C$6:$C$305,"Empaque y suministros",GASTOS!$B$6:$B$305,"&gt;="&amp;E$5,GASTOS!$B$6:$B$305,"&lt;"&amp;DATE(YEAR(E$5),MONTH(E$5)+1,1))</f>
        <v/>
      </c>
      <c r="F19" s="151">
        <f>-SUMIFS(GASTOS!$J$6:$J$305,GASTOS!$C$6:$C$305,"Empaque y suministros",GASTOS!$B$6:$B$305,"&gt;="&amp;F$5,GASTOS!$B$6:$B$305,"&lt;"&amp;DATE(YEAR(F$5),MONTH(F$5)+1,1))</f>
        <v/>
      </c>
      <c r="G19" s="151">
        <f>-SUMIFS(GASTOS!$J$6:$J$305,GASTOS!$C$6:$C$305,"Empaque y suministros",GASTOS!$B$6:$B$305,"&gt;="&amp;G$5,GASTOS!$B$6:$B$305,"&lt;"&amp;DATE(YEAR(G$5),MONTH(G$5)+1,1))</f>
        <v/>
      </c>
      <c r="H19" s="151">
        <f>-SUMIFS(GASTOS!$J$6:$J$305,GASTOS!$C$6:$C$305,"Empaque y suministros",GASTOS!$B$6:$B$305,"&gt;="&amp;H$5,GASTOS!$B$6:$B$305,"&lt;"&amp;DATE(YEAR(H$5),MONTH(H$5)+1,1))</f>
        <v/>
      </c>
      <c r="I19" s="151">
        <f>-SUMIFS(GASTOS!$J$6:$J$305,GASTOS!$C$6:$C$305,"Empaque y suministros",GASTOS!$B$6:$B$305,"&gt;="&amp;I$5,GASTOS!$B$6:$B$305,"&lt;"&amp;DATE(YEAR(I$5),MONTH(I$5)+1,1))</f>
        <v/>
      </c>
      <c r="J19" s="151">
        <f>-SUMIFS(GASTOS!$J$6:$J$305,GASTOS!$C$6:$C$305,"Empaque y suministros",GASTOS!$B$6:$B$305,"&gt;="&amp;J$5,GASTOS!$B$6:$B$305,"&lt;"&amp;DATE(YEAR(J$5),MONTH(J$5)+1,1))</f>
        <v/>
      </c>
      <c r="K19" s="151">
        <f>-SUMIFS(GASTOS!$J$6:$J$305,GASTOS!$C$6:$C$305,"Empaque y suministros",GASTOS!$B$6:$B$305,"&gt;="&amp;K$5,GASTOS!$B$6:$B$305,"&lt;"&amp;DATE(YEAR(K$5),MONTH(K$5)+1,1))</f>
        <v/>
      </c>
      <c r="L19" s="151">
        <f>-SUMIFS(GASTOS!$J$6:$J$305,GASTOS!$C$6:$C$305,"Empaque y suministros",GASTOS!$B$6:$B$305,"&gt;="&amp;L$5,GASTOS!$B$6:$B$305,"&lt;"&amp;DATE(YEAR(L$5),MONTH(L$5)+1,1))</f>
        <v/>
      </c>
      <c r="M19" s="151">
        <f>-SUMIFS(GASTOS!$J$6:$J$305,GASTOS!$C$6:$C$305,"Empaque y suministros",GASTOS!$B$6:$B$305,"&gt;="&amp;M$5,GASTOS!$B$6:$B$305,"&lt;"&amp;DATE(YEAR(M$5),MONTH(M$5)+1,1))</f>
        <v/>
      </c>
      <c r="N19" s="151">
        <f>-SUMIFS(GASTOS!$J$6:$J$305,GASTOS!$C$6:$C$305,"Empaque y suministros",GASTOS!$B$6:$B$305,"&gt;="&amp;N$5,GASTOS!$B$6:$B$305,"&lt;"&amp;DATE(YEAR(N$5),MONTH(N$5)+1,1))</f>
        <v/>
      </c>
      <c r="O19" s="152">
        <f>SUM(C19:N19)</f>
        <v/>
      </c>
      <c r="Q19" s="153">
        <f>-SUMIFS(GASTOS!$J$6:$J$305,GASTOS!$C$6:$C$305,"Empaque y suministros")</f>
        <v/>
      </c>
    </row>
    <row r="20">
      <c r="B20" s="150" t="inlineStr">
        <is>
          <t>Devoluciones y reembolsos</t>
        </is>
      </c>
      <c r="C20" s="151">
        <f>-SUMIFS(GASTOS!$J$6:$J$305,GASTOS!$C$6:$C$305,"Devoluciones y reembolsos",GASTOS!$B$6:$B$305,"&gt;="&amp;C$5,GASTOS!$B$6:$B$305,"&lt;"&amp;DATE(YEAR(C$5),MONTH(C$5)+1,1))</f>
        <v/>
      </c>
      <c r="D20" s="151">
        <f>-SUMIFS(GASTOS!$J$6:$J$305,GASTOS!$C$6:$C$305,"Devoluciones y reembolsos",GASTOS!$B$6:$B$305,"&gt;="&amp;D$5,GASTOS!$B$6:$B$305,"&lt;"&amp;DATE(YEAR(D$5),MONTH(D$5)+1,1))</f>
        <v/>
      </c>
      <c r="E20" s="151">
        <f>-SUMIFS(GASTOS!$J$6:$J$305,GASTOS!$C$6:$C$305,"Devoluciones y reembolsos",GASTOS!$B$6:$B$305,"&gt;="&amp;E$5,GASTOS!$B$6:$B$305,"&lt;"&amp;DATE(YEAR(E$5),MONTH(E$5)+1,1))</f>
        <v/>
      </c>
      <c r="F20" s="151">
        <f>-SUMIFS(GASTOS!$J$6:$J$305,GASTOS!$C$6:$C$305,"Devoluciones y reembolsos",GASTOS!$B$6:$B$305,"&gt;="&amp;F$5,GASTOS!$B$6:$B$305,"&lt;"&amp;DATE(YEAR(F$5),MONTH(F$5)+1,1))</f>
        <v/>
      </c>
      <c r="G20" s="151">
        <f>-SUMIFS(GASTOS!$J$6:$J$305,GASTOS!$C$6:$C$305,"Devoluciones y reembolsos",GASTOS!$B$6:$B$305,"&gt;="&amp;G$5,GASTOS!$B$6:$B$305,"&lt;"&amp;DATE(YEAR(G$5),MONTH(G$5)+1,1))</f>
        <v/>
      </c>
      <c r="H20" s="151">
        <f>-SUMIFS(GASTOS!$J$6:$J$305,GASTOS!$C$6:$C$305,"Devoluciones y reembolsos",GASTOS!$B$6:$B$305,"&gt;="&amp;H$5,GASTOS!$B$6:$B$305,"&lt;"&amp;DATE(YEAR(H$5),MONTH(H$5)+1,1))</f>
        <v/>
      </c>
      <c r="I20" s="151">
        <f>-SUMIFS(GASTOS!$J$6:$J$305,GASTOS!$C$6:$C$305,"Devoluciones y reembolsos",GASTOS!$B$6:$B$305,"&gt;="&amp;I$5,GASTOS!$B$6:$B$305,"&lt;"&amp;DATE(YEAR(I$5),MONTH(I$5)+1,1))</f>
        <v/>
      </c>
      <c r="J20" s="151">
        <f>-SUMIFS(GASTOS!$J$6:$J$305,GASTOS!$C$6:$C$305,"Devoluciones y reembolsos",GASTOS!$B$6:$B$305,"&gt;="&amp;J$5,GASTOS!$B$6:$B$305,"&lt;"&amp;DATE(YEAR(J$5),MONTH(J$5)+1,1))</f>
        <v/>
      </c>
      <c r="K20" s="151">
        <f>-SUMIFS(GASTOS!$J$6:$J$305,GASTOS!$C$6:$C$305,"Devoluciones y reembolsos",GASTOS!$B$6:$B$305,"&gt;="&amp;K$5,GASTOS!$B$6:$B$305,"&lt;"&amp;DATE(YEAR(K$5),MONTH(K$5)+1,1))</f>
        <v/>
      </c>
      <c r="L20" s="151">
        <f>-SUMIFS(GASTOS!$J$6:$J$305,GASTOS!$C$6:$C$305,"Devoluciones y reembolsos",GASTOS!$B$6:$B$305,"&gt;="&amp;L$5,GASTOS!$B$6:$B$305,"&lt;"&amp;DATE(YEAR(L$5),MONTH(L$5)+1,1))</f>
        <v/>
      </c>
      <c r="M20" s="151">
        <f>-SUMIFS(GASTOS!$J$6:$J$305,GASTOS!$C$6:$C$305,"Devoluciones y reembolsos",GASTOS!$B$6:$B$305,"&gt;="&amp;M$5,GASTOS!$B$6:$B$305,"&lt;"&amp;DATE(YEAR(M$5),MONTH(M$5)+1,1))</f>
        <v/>
      </c>
      <c r="N20" s="151">
        <f>-SUMIFS(GASTOS!$J$6:$J$305,GASTOS!$C$6:$C$305,"Devoluciones y reembolsos",GASTOS!$B$6:$B$305,"&gt;="&amp;N$5,GASTOS!$B$6:$B$305,"&lt;"&amp;DATE(YEAR(N$5),MONTH(N$5)+1,1))</f>
        <v/>
      </c>
      <c r="O20" s="152">
        <f>SUM(C20:N20)</f>
        <v/>
      </c>
      <c r="Q20" s="153">
        <f>-SUMIFS(GASTOS!$J$6:$J$305,GASTOS!$C$6:$C$305,"Devoluciones y reembolsos")</f>
        <v/>
      </c>
    </row>
    <row r="21">
      <c r="B21" s="150" t="inlineStr">
        <is>
          <t>Software y suscripciones</t>
        </is>
      </c>
      <c r="C21" s="151">
        <f>-SUMIFS(GASTOS!$J$6:$J$305,GASTOS!$C$6:$C$305,"Software y suscripciones",GASTOS!$B$6:$B$305,"&gt;="&amp;C$5,GASTOS!$B$6:$B$305,"&lt;"&amp;DATE(YEAR(C$5),MONTH(C$5)+1,1))</f>
        <v/>
      </c>
      <c r="D21" s="151">
        <f>-SUMIFS(GASTOS!$J$6:$J$305,GASTOS!$C$6:$C$305,"Software y suscripciones",GASTOS!$B$6:$B$305,"&gt;="&amp;D$5,GASTOS!$B$6:$B$305,"&lt;"&amp;DATE(YEAR(D$5),MONTH(D$5)+1,1))</f>
        <v/>
      </c>
      <c r="E21" s="151">
        <f>-SUMIFS(GASTOS!$J$6:$J$305,GASTOS!$C$6:$C$305,"Software y suscripciones",GASTOS!$B$6:$B$305,"&gt;="&amp;E$5,GASTOS!$B$6:$B$305,"&lt;"&amp;DATE(YEAR(E$5),MONTH(E$5)+1,1))</f>
        <v/>
      </c>
      <c r="F21" s="151">
        <f>-SUMIFS(GASTOS!$J$6:$J$305,GASTOS!$C$6:$C$305,"Software y suscripciones",GASTOS!$B$6:$B$305,"&gt;="&amp;F$5,GASTOS!$B$6:$B$305,"&lt;"&amp;DATE(YEAR(F$5),MONTH(F$5)+1,1))</f>
        <v/>
      </c>
      <c r="G21" s="151">
        <f>-SUMIFS(GASTOS!$J$6:$J$305,GASTOS!$C$6:$C$305,"Software y suscripciones",GASTOS!$B$6:$B$305,"&gt;="&amp;G$5,GASTOS!$B$6:$B$305,"&lt;"&amp;DATE(YEAR(G$5),MONTH(G$5)+1,1))</f>
        <v/>
      </c>
      <c r="H21" s="151">
        <f>-SUMIFS(GASTOS!$J$6:$J$305,GASTOS!$C$6:$C$305,"Software y suscripciones",GASTOS!$B$6:$B$305,"&gt;="&amp;H$5,GASTOS!$B$6:$B$305,"&lt;"&amp;DATE(YEAR(H$5),MONTH(H$5)+1,1))</f>
        <v/>
      </c>
      <c r="I21" s="151">
        <f>-SUMIFS(GASTOS!$J$6:$J$305,GASTOS!$C$6:$C$305,"Software y suscripciones",GASTOS!$B$6:$B$305,"&gt;="&amp;I$5,GASTOS!$B$6:$B$305,"&lt;"&amp;DATE(YEAR(I$5),MONTH(I$5)+1,1))</f>
        <v/>
      </c>
      <c r="J21" s="151">
        <f>-SUMIFS(GASTOS!$J$6:$J$305,GASTOS!$C$6:$C$305,"Software y suscripciones",GASTOS!$B$6:$B$305,"&gt;="&amp;J$5,GASTOS!$B$6:$B$305,"&lt;"&amp;DATE(YEAR(J$5),MONTH(J$5)+1,1))</f>
        <v/>
      </c>
      <c r="K21" s="151">
        <f>-SUMIFS(GASTOS!$J$6:$J$305,GASTOS!$C$6:$C$305,"Software y suscripciones",GASTOS!$B$6:$B$305,"&gt;="&amp;K$5,GASTOS!$B$6:$B$305,"&lt;"&amp;DATE(YEAR(K$5),MONTH(K$5)+1,1))</f>
        <v/>
      </c>
      <c r="L21" s="151">
        <f>-SUMIFS(GASTOS!$J$6:$J$305,GASTOS!$C$6:$C$305,"Software y suscripciones",GASTOS!$B$6:$B$305,"&gt;="&amp;L$5,GASTOS!$B$6:$B$305,"&lt;"&amp;DATE(YEAR(L$5),MONTH(L$5)+1,1))</f>
        <v/>
      </c>
      <c r="M21" s="151">
        <f>-SUMIFS(GASTOS!$J$6:$J$305,GASTOS!$C$6:$C$305,"Software y suscripciones",GASTOS!$B$6:$B$305,"&gt;="&amp;M$5,GASTOS!$B$6:$B$305,"&lt;"&amp;DATE(YEAR(M$5),MONTH(M$5)+1,1))</f>
        <v/>
      </c>
      <c r="N21" s="151">
        <f>-SUMIFS(GASTOS!$J$6:$J$305,GASTOS!$C$6:$C$305,"Software y suscripciones",GASTOS!$B$6:$B$305,"&gt;="&amp;N$5,GASTOS!$B$6:$B$305,"&lt;"&amp;DATE(YEAR(N$5),MONTH(N$5)+1,1))</f>
        <v/>
      </c>
      <c r="O21" s="152">
        <f>SUM(C21:N21)</f>
        <v/>
      </c>
      <c r="Q21" s="153">
        <f>-SUMIFS(GASTOS!$J$6:$J$305,GASTOS!$C$6:$C$305,"Software y suscripciones")</f>
        <v/>
      </c>
    </row>
    <row r="22">
      <c r="B22" s="150" t="inlineStr">
        <is>
          <t>Comisiones bancarias</t>
        </is>
      </c>
      <c r="C22" s="151">
        <f>-SUMIFS(GASTOS!$J$6:$J$305,GASTOS!$C$6:$C$305,"Comisiones bancarias",GASTOS!$B$6:$B$305,"&gt;="&amp;C$5,GASTOS!$B$6:$B$305,"&lt;"&amp;DATE(YEAR(C$5),MONTH(C$5)+1,1))</f>
        <v/>
      </c>
      <c r="D22" s="151">
        <f>-SUMIFS(GASTOS!$J$6:$J$305,GASTOS!$C$6:$C$305,"Comisiones bancarias",GASTOS!$B$6:$B$305,"&gt;="&amp;D$5,GASTOS!$B$6:$B$305,"&lt;"&amp;DATE(YEAR(D$5),MONTH(D$5)+1,1))</f>
        <v/>
      </c>
      <c r="E22" s="151">
        <f>-SUMIFS(GASTOS!$J$6:$J$305,GASTOS!$C$6:$C$305,"Comisiones bancarias",GASTOS!$B$6:$B$305,"&gt;="&amp;E$5,GASTOS!$B$6:$B$305,"&lt;"&amp;DATE(YEAR(E$5),MONTH(E$5)+1,1))</f>
        <v/>
      </c>
      <c r="F22" s="151">
        <f>-SUMIFS(GASTOS!$J$6:$J$305,GASTOS!$C$6:$C$305,"Comisiones bancarias",GASTOS!$B$6:$B$305,"&gt;="&amp;F$5,GASTOS!$B$6:$B$305,"&lt;"&amp;DATE(YEAR(F$5),MONTH(F$5)+1,1))</f>
        <v/>
      </c>
      <c r="G22" s="151">
        <f>-SUMIFS(GASTOS!$J$6:$J$305,GASTOS!$C$6:$C$305,"Comisiones bancarias",GASTOS!$B$6:$B$305,"&gt;="&amp;G$5,GASTOS!$B$6:$B$305,"&lt;"&amp;DATE(YEAR(G$5),MONTH(G$5)+1,1))</f>
        <v/>
      </c>
      <c r="H22" s="151">
        <f>-SUMIFS(GASTOS!$J$6:$J$305,GASTOS!$C$6:$C$305,"Comisiones bancarias",GASTOS!$B$6:$B$305,"&gt;="&amp;H$5,GASTOS!$B$6:$B$305,"&lt;"&amp;DATE(YEAR(H$5),MONTH(H$5)+1,1))</f>
        <v/>
      </c>
      <c r="I22" s="151">
        <f>-SUMIFS(GASTOS!$J$6:$J$305,GASTOS!$C$6:$C$305,"Comisiones bancarias",GASTOS!$B$6:$B$305,"&gt;="&amp;I$5,GASTOS!$B$6:$B$305,"&lt;"&amp;DATE(YEAR(I$5),MONTH(I$5)+1,1))</f>
        <v/>
      </c>
      <c r="J22" s="151">
        <f>-SUMIFS(GASTOS!$J$6:$J$305,GASTOS!$C$6:$C$305,"Comisiones bancarias",GASTOS!$B$6:$B$305,"&gt;="&amp;J$5,GASTOS!$B$6:$B$305,"&lt;"&amp;DATE(YEAR(J$5),MONTH(J$5)+1,1))</f>
        <v/>
      </c>
      <c r="K22" s="151">
        <f>-SUMIFS(GASTOS!$J$6:$J$305,GASTOS!$C$6:$C$305,"Comisiones bancarias",GASTOS!$B$6:$B$305,"&gt;="&amp;K$5,GASTOS!$B$6:$B$305,"&lt;"&amp;DATE(YEAR(K$5),MONTH(K$5)+1,1))</f>
        <v/>
      </c>
      <c r="L22" s="151">
        <f>-SUMIFS(GASTOS!$J$6:$J$305,GASTOS!$C$6:$C$305,"Comisiones bancarias",GASTOS!$B$6:$B$305,"&gt;="&amp;L$5,GASTOS!$B$6:$B$305,"&lt;"&amp;DATE(YEAR(L$5),MONTH(L$5)+1,1))</f>
        <v/>
      </c>
      <c r="M22" s="151">
        <f>-SUMIFS(GASTOS!$J$6:$J$305,GASTOS!$C$6:$C$305,"Comisiones bancarias",GASTOS!$B$6:$B$305,"&gt;="&amp;M$5,GASTOS!$B$6:$B$305,"&lt;"&amp;DATE(YEAR(M$5),MONTH(M$5)+1,1))</f>
        <v/>
      </c>
      <c r="N22" s="151">
        <f>-SUMIFS(GASTOS!$J$6:$J$305,GASTOS!$C$6:$C$305,"Comisiones bancarias",GASTOS!$B$6:$B$305,"&gt;="&amp;N$5,GASTOS!$B$6:$B$305,"&lt;"&amp;DATE(YEAR(N$5),MONTH(N$5)+1,1))</f>
        <v/>
      </c>
      <c r="O22" s="152">
        <f>SUM(C22:N22)</f>
        <v/>
      </c>
      <c r="Q22" s="153">
        <f>-SUMIFS(GASTOS!$J$6:$J$305,GASTOS!$C$6:$C$305,"Comisiones bancarias")</f>
        <v/>
      </c>
    </row>
    <row r="23">
      <c r="B23" s="150" t="inlineStr">
        <is>
          <t>Servicios profesionales</t>
        </is>
      </c>
      <c r="C23" s="151">
        <f>-SUMIFS(GASTOS!$J$6:$J$305,GASTOS!$C$6:$C$305,"Servicios profesionales",GASTOS!$B$6:$B$305,"&gt;="&amp;C$5,GASTOS!$B$6:$B$305,"&lt;"&amp;DATE(YEAR(C$5),MONTH(C$5)+1,1))</f>
        <v/>
      </c>
      <c r="D23" s="151">
        <f>-SUMIFS(GASTOS!$J$6:$J$305,GASTOS!$C$6:$C$305,"Servicios profesionales",GASTOS!$B$6:$B$305,"&gt;="&amp;D$5,GASTOS!$B$6:$B$305,"&lt;"&amp;DATE(YEAR(D$5),MONTH(D$5)+1,1))</f>
        <v/>
      </c>
      <c r="E23" s="151">
        <f>-SUMIFS(GASTOS!$J$6:$J$305,GASTOS!$C$6:$C$305,"Servicios profesionales",GASTOS!$B$6:$B$305,"&gt;="&amp;E$5,GASTOS!$B$6:$B$305,"&lt;"&amp;DATE(YEAR(E$5),MONTH(E$5)+1,1))</f>
        <v/>
      </c>
      <c r="F23" s="151">
        <f>-SUMIFS(GASTOS!$J$6:$J$305,GASTOS!$C$6:$C$305,"Servicios profesionales",GASTOS!$B$6:$B$305,"&gt;="&amp;F$5,GASTOS!$B$6:$B$305,"&lt;"&amp;DATE(YEAR(F$5),MONTH(F$5)+1,1))</f>
        <v/>
      </c>
      <c r="G23" s="151">
        <f>-SUMIFS(GASTOS!$J$6:$J$305,GASTOS!$C$6:$C$305,"Servicios profesionales",GASTOS!$B$6:$B$305,"&gt;="&amp;G$5,GASTOS!$B$6:$B$305,"&lt;"&amp;DATE(YEAR(G$5),MONTH(G$5)+1,1))</f>
        <v/>
      </c>
      <c r="H23" s="151">
        <f>-SUMIFS(GASTOS!$J$6:$J$305,GASTOS!$C$6:$C$305,"Servicios profesionales",GASTOS!$B$6:$B$305,"&gt;="&amp;H$5,GASTOS!$B$6:$B$305,"&lt;"&amp;DATE(YEAR(H$5),MONTH(H$5)+1,1))</f>
        <v/>
      </c>
      <c r="I23" s="151">
        <f>-SUMIFS(GASTOS!$J$6:$J$305,GASTOS!$C$6:$C$305,"Servicios profesionales",GASTOS!$B$6:$B$305,"&gt;="&amp;I$5,GASTOS!$B$6:$B$305,"&lt;"&amp;DATE(YEAR(I$5),MONTH(I$5)+1,1))</f>
        <v/>
      </c>
      <c r="J23" s="151">
        <f>-SUMIFS(GASTOS!$J$6:$J$305,GASTOS!$C$6:$C$305,"Servicios profesionales",GASTOS!$B$6:$B$305,"&gt;="&amp;J$5,GASTOS!$B$6:$B$305,"&lt;"&amp;DATE(YEAR(J$5),MONTH(J$5)+1,1))</f>
        <v/>
      </c>
      <c r="K23" s="151">
        <f>-SUMIFS(GASTOS!$J$6:$J$305,GASTOS!$C$6:$C$305,"Servicios profesionales",GASTOS!$B$6:$B$305,"&gt;="&amp;K$5,GASTOS!$B$6:$B$305,"&lt;"&amp;DATE(YEAR(K$5),MONTH(K$5)+1,1))</f>
        <v/>
      </c>
      <c r="L23" s="151">
        <f>-SUMIFS(GASTOS!$J$6:$J$305,GASTOS!$C$6:$C$305,"Servicios profesionales",GASTOS!$B$6:$B$305,"&gt;="&amp;L$5,GASTOS!$B$6:$B$305,"&lt;"&amp;DATE(YEAR(L$5),MONTH(L$5)+1,1))</f>
        <v/>
      </c>
      <c r="M23" s="151">
        <f>-SUMIFS(GASTOS!$J$6:$J$305,GASTOS!$C$6:$C$305,"Servicios profesionales",GASTOS!$B$6:$B$305,"&gt;="&amp;M$5,GASTOS!$B$6:$B$305,"&lt;"&amp;DATE(YEAR(M$5),MONTH(M$5)+1,1))</f>
        <v/>
      </c>
      <c r="N23" s="151">
        <f>-SUMIFS(GASTOS!$J$6:$J$305,GASTOS!$C$6:$C$305,"Servicios profesionales",GASTOS!$B$6:$B$305,"&gt;="&amp;N$5,GASTOS!$B$6:$B$305,"&lt;"&amp;DATE(YEAR(N$5),MONTH(N$5)+1,1))</f>
        <v/>
      </c>
      <c r="O23" s="152">
        <f>SUM(C23:N23)</f>
        <v/>
      </c>
      <c r="Q23" s="153">
        <f>-SUMIFS(GASTOS!$J$6:$J$305,GASTOS!$C$6:$C$305,"Servicios profesionales")</f>
        <v/>
      </c>
    </row>
    <row r="24">
      <c r="B24" s="150" t="inlineStr">
        <is>
          <t>Impuestos y licencias</t>
        </is>
      </c>
      <c r="C24" s="151">
        <f>-SUMIFS(GASTOS!$J$6:$J$305,GASTOS!$C$6:$C$305,"Impuestos y licencias",GASTOS!$B$6:$B$305,"&gt;="&amp;C$5,GASTOS!$B$6:$B$305,"&lt;"&amp;DATE(YEAR(C$5),MONTH(C$5)+1,1))</f>
        <v/>
      </c>
      <c r="D24" s="151">
        <f>-SUMIFS(GASTOS!$J$6:$J$305,GASTOS!$C$6:$C$305,"Impuestos y licencias",GASTOS!$B$6:$B$305,"&gt;="&amp;D$5,GASTOS!$B$6:$B$305,"&lt;"&amp;DATE(YEAR(D$5),MONTH(D$5)+1,1))</f>
        <v/>
      </c>
      <c r="E24" s="151">
        <f>-SUMIFS(GASTOS!$J$6:$J$305,GASTOS!$C$6:$C$305,"Impuestos y licencias",GASTOS!$B$6:$B$305,"&gt;="&amp;E$5,GASTOS!$B$6:$B$305,"&lt;"&amp;DATE(YEAR(E$5),MONTH(E$5)+1,1))</f>
        <v/>
      </c>
      <c r="F24" s="151">
        <f>-SUMIFS(GASTOS!$J$6:$J$305,GASTOS!$C$6:$C$305,"Impuestos y licencias",GASTOS!$B$6:$B$305,"&gt;="&amp;F$5,GASTOS!$B$6:$B$305,"&lt;"&amp;DATE(YEAR(F$5),MONTH(F$5)+1,1))</f>
        <v/>
      </c>
      <c r="G24" s="151">
        <f>-SUMIFS(GASTOS!$J$6:$J$305,GASTOS!$C$6:$C$305,"Impuestos y licencias",GASTOS!$B$6:$B$305,"&gt;="&amp;G$5,GASTOS!$B$6:$B$305,"&lt;"&amp;DATE(YEAR(G$5),MONTH(G$5)+1,1))</f>
        <v/>
      </c>
      <c r="H24" s="151">
        <f>-SUMIFS(GASTOS!$J$6:$J$305,GASTOS!$C$6:$C$305,"Impuestos y licencias",GASTOS!$B$6:$B$305,"&gt;="&amp;H$5,GASTOS!$B$6:$B$305,"&lt;"&amp;DATE(YEAR(H$5),MONTH(H$5)+1,1))</f>
        <v/>
      </c>
      <c r="I24" s="151">
        <f>-SUMIFS(GASTOS!$J$6:$J$305,GASTOS!$C$6:$C$305,"Impuestos y licencias",GASTOS!$B$6:$B$305,"&gt;="&amp;I$5,GASTOS!$B$6:$B$305,"&lt;"&amp;DATE(YEAR(I$5),MONTH(I$5)+1,1))</f>
        <v/>
      </c>
      <c r="J24" s="151">
        <f>-SUMIFS(GASTOS!$J$6:$J$305,GASTOS!$C$6:$C$305,"Impuestos y licencias",GASTOS!$B$6:$B$305,"&gt;="&amp;J$5,GASTOS!$B$6:$B$305,"&lt;"&amp;DATE(YEAR(J$5),MONTH(J$5)+1,1))</f>
        <v/>
      </c>
      <c r="K24" s="151">
        <f>-SUMIFS(GASTOS!$J$6:$J$305,GASTOS!$C$6:$C$305,"Impuestos y licencias",GASTOS!$B$6:$B$305,"&gt;="&amp;K$5,GASTOS!$B$6:$B$305,"&lt;"&amp;DATE(YEAR(K$5),MONTH(K$5)+1,1))</f>
        <v/>
      </c>
      <c r="L24" s="151">
        <f>-SUMIFS(GASTOS!$J$6:$J$305,GASTOS!$C$6:$C$305,"Impuestos y licencias",GASTOS!$B$6:$B$305,"&gt;="&amp;L$5,GASTOS!$B$6:$B$305,"&lt;"&amp;DATE(YEAR(L$5),MONTH(L$5)+1,1))</f>
        <v/>
      </c>
      <c r="M24" s="151">
        <f>-SUMIFS(GASTOS!$J$6:$J$305,GASTOS!$C$6:$C$305,"Impuestos y licencias",GASTOS!$B$6:$B$305,"&gt;="&amp;M$5,GASTOS!$B$6:$B$305,"&lt;"&amp;DATE(YEAR(M$5),MONTH(M$5)+1,1))</f>
        <v/>
      </c>
      <c r="N24" s="151">
        <f>-SUMIFS(GASTOS!$J$6:$J$305,GASTOS!$C$6:$C$305,"Impuestos y licencias",GASTOS!$B$6:$B$305,"&gt;="&amp;N$5,GASTOS!$B$6:$B$305,"&lt;"&amp;DATE(YEAR(N$5),MONTH(N$5)+1,1))</f>
        <v/>
      </c>
      <c r="O24" s="152">
        <f>SUM(C24:N24)</f>
        <v/>
      </c>
      <c r="Q24" s="153">
        <f>-SUMIFS(GASTOS!$J$6:$J$305,GASTOS!$C$6:$C$305,"Impuestos y licencias")</f>
        <v/>
      </c>
    </row>
    <row r="25">
      <c r="B25" s="150" t="inlineStr">
        <is>
          <t>Otros gastos</t>
        </is>
      </c>
      <c r="C25" s="151">
        <f>-SUMIFS(GASTOS!$J$6:$J$305,GASTOS!$C$6:$C$305,"Otros gastos",GASTOS!$B$6:$B$305,"&gt;="&amp;C$5,GASTOS!$B$6:$B$305,"&lt;"&amp;DATE(YEAR(C$5),MONTH(C$5)+1,1))</f>
        <v/>
      </c>
      <c r="D25" s="151">
        <f>-SUMIFS(GASTOS!$J$6:$J$305,GASTOS!$C$6:$C$305,"Otros gastos",GASTOS!$B$6:$B$305,"&gt;="&amp;D$5,GASTOS!$B$6:$B$305,"&lt;"&amp;DATE(YEAR(D$5),MONTH(D$5)+1,1))</f>
        <v/>
      </c>
      <c r="E25" s="151">
        <f>-SUMIFS(GASTOS!$J$6:$J$305,GASTOS!$C$6:$C$305,"Otros gastos",GASTOS!$B$6:$B$305,"&gt;="&amp;E$5,GASTOS!$B$6:$B$305,"&lt;"&amp;DATE(YEAR(E$5),MONTH(E$5)+1,1))</f>
        <v/>
      </c>
      <c r="F25" s="151">
        <f>-SUMIFS(GASTOS!$J$6:$J$305,GASTOS!$C$6:$C$305,"Otros gastos",GASTOS!$B$6:$B$305,"&gt;="&amp;F$5,GASTOS!$B$6:$B$305,"&lt;"&amp;DATE(YEAR(F$5),MONTH(F$5)+1,1))</f>
        <v/>
      </c>
      <c r="G25" s="151">
        <f>-SUMIFS(GASTOS!$J$6:$J$305,GASTOS!$C$6:$C$305,"Otros gastos",GASTOS!$B$6:$B$305,"&gt;="&amp;G$5,GASTOS!$B$6:$B$305,"&lt;"&amp;DATE(YEAR(G$5),MONTH(G$5)+1,1))</f>
        <v/>
      </c>
      <c r="H25" s="151">
        <f>-SUMIFS(GASTOS!$J$6:$J$305,GASTOS!$C$6:$C$305,"Otros gastos",GASTOS!$B$6:$B$305,"&gt;="&amp;H$5,GASTOS!$B$6:$B$305,"&lt;"&amp;DATE(YEAR(H$5),MONTH(H$5)+1,1))</f>
        <v/>
      </c>
      <c r="I25" s="151">
        <f>-SUMIFS(GASTOS!$J$6:$J$305,GASTOS!$C$6:$C$305,"Otros gastos",GASTOS!$B$6:$B$305,"&gt;="&amp;I$5,GASTOS!$B$6:$B$305,"&lt;"&amp;DATE(YEAR(I$5),MONTH(I$5)+1,1))</f>
        <v/>
      </c>
      <c r="J25" s="151">
        <f>-SUMIFS(GASTOS!$J$6:$J$305,GASTOS!$C$6:$C$305,"Otros gastos",GASTOS!$B$6:$B$305,"&gt;="&amp;J$5,GASTOS!$B$6:$B$305,"&lt;"&amp;DATE(YEAR(J$5),MONTH(J$5)+1,1))</f>
        <v/>
      </c>
      <c r="K25" s="151">
        <f>-SUMIFS(GASTOS!$J$6:$J$305,GASTOS!$C$6:$C$305,"Otros gastos",GASTOS!$B$6:$B$305,"&gt;="&amp;K$5,GASTOS!$B$6:$B$305,"&lt;"&amp;DATE(YEAR(K$5),MONTH(K$5)+1,1))</f>
        <v/>
      </c>
      <c r="L25" s="151">
        <f>-SUMIFS(GASTOS!$J$6:$J$305,GASTOS!$C$6:$C$305,"Otros gastos",GASTOS!$B$6:$B$305,"&gt;="&amp;L$5,GASTOS!$B$6:$B$305,"&lt;"&amp;DATE(YEAR(L$5),MONTH(L$5)+1,1))</f>
        <v/>
      </c>
      <c r="M25" s="151">
        <f>-SUMIFS(GASTOS!$J$6:$J$305,GASTOS!$C$6:$C$305,"Otros gastos",GASTOS!$B$6:$B$305,"&gt;="&amp;M$5,GASTOS!$B$6:$B$305,"&lt;"&amp;DATE(YEAR(M$5),MONTH(M$5)+1,1))</f>
        <v/>
      </c>
      <c r="N25" s="151">
        <f>-SUMIFS(GASTOS!$J$6:$J$305,GASTOS!$C$6:$C$305,"Otros gastos",GASTOS!$B$6:$B$305,"&gt;="&amp;N$5,GASTOS!$B$6:$B$305,"&lt;"&amp;DATE(YEAR(N$5),MONTH(N$5)+1,1))</f>
        <v/>
      </c>
      <c r="O25" s="152">
        <f>SUM(C25:N25)</f>
        <v/>
      </c>
      <c r="Q25" s="153">
        <f>-SUMIFS(GASTOS!$J$6:$J$305,GASTOS!$C$6:$C$305,"Otros gastos")</f>
        <v/>
      </c>
    </row>
    <row r="26">
      <c r="B26" s="154" t="inlineStr">
        <is>
          <t>TOTAL GASTOS OPERATIVOS</t>
        </is>
      </c>
      <c r="C26" s="155">
        <f>SUM(C16:C25)</f>
        <v/>
      </c>
      <c r="D26" s="155">
        <f>SUM(D16:D25)</f>
        <v/>
      </c>
      <c r="E26" s="155">
        <f>SUM(E16:E25)</f>
        <v/>
      </c>
      <c r="F26" s="155">
        <f>SUM(F16:F25)</f>
        <v/>
      </c>
      <c r="G26" s="155">
        <f>SUM(G16:G25)</f>
        <v/>
      </c>
      <c r="H26" s="155">
        <f>SUM(H16:H25)</f>
        <v/>
      </c>
      <c r="I26" s="155">
        <f>SUM(I16:I25)</f>
        <v/>
      </c>
      <c r="J26" s="155">
        <f>SUM(J16:J25)</f>
        <v/>
      </c>
      <c r="K26" s="155">
        <f>SUM(K16:K25)</f>
        <v/>
      </c>
      <c r="L26" s="155">
        <f>SUM(L16:L25)</f>
        <v/>
      </c>
      <c r="M26" s="155">
        <f>SUM(M16:M25)</f>
        <v/>
      </c>
      <c r="N26" s="155">
        <f>SUM(N16:N25)</f>
        <v/>
      </c>
      <c r="O26" s="155">
        <f>SUM(C26:N26)</f>
        <v/>
      </c>
      <c r="Q26" s="153">
        <f>SUM(Q16:Q25)</f>
        <v/>
      </c>
    </row>
    <row r="27">
      <c r="B27" s="154" t="inlineStr">
        <is>
          <t>UTILIDAD OPERATIVA</t>
        </is>
      </c>
      <c r="C27" s="155">
        <f>C13+C26</f>
        <v/>
      </c>
      <c r="D27" s="155">
        <f>D13+D26</f>
        <v/>
      </c>
      <c r="E27" s="155">
        <f>E13+E26</f>
        <v/>
      </c>
      <c r="F27" s="155">
        <f>F13+F26</f>
        <v/>
      </c>
      <c r="G27" s="155">
        <f>G13+G26</f>
        <v/>
      </c>
      <c r="H27" s="155">
        <f>H13+H26</f>
        <v/>
      </c>
      <c r="I27" s="155">
        <f>I13+I26</f>
        <v/>
      </c>
      <c r="J27" s="155">
        <f>J13+J26</f>
        <v/>
      </c>
      <c r="K27" s="155">
        <f>K13+K26</f>
        <v/>
      </c>
      <c r="L27" s="155">
        <f>L13+L26</f>
        <v/>
      </c>
      <c r="M27" s="155">
        <f>M13+M26</f>
        <v/>
      </c>
      <c r="N27" s="155">
        <f>N13+N26</f>
        <v/>
      </c>
      <c r="O27" s="155">
        <f>SUM(C27:N27)</f>
        <v/>
      </c>
      <c r="Q27" s="153">
        <f>Q13+Q26</f>
        <v/>
      </c>
    </row>
    <row r="28">
      <c r="B28" s="150" t="inlineStr">
        <is>
          <t>(+) Otros ingresos</t>
        </is>
      </c>
      <c r="C28" s="151">
        <f>SUMIFS(BANCO!$E$22:$E$321,BANCO!$C$22:$C$321,"Otro ingreso",BANCO!$B$22:$B$321,"&gt;="&amp;C$5,BANCO!$B$22:$B$321,"&lt;"&amp;DATE(YEAR(C$5),MONTH(C$5)+1,1))</f>
        <v/>
      </c>
      <c r="D28" s="151">
        <f>SUMIFS(BANCO!$E$22:$E$321,BANCO!$C$22:$C$321,"Otro ingreso",BANCO!$B$22:$B$321,"&gt;="&amp;D$5,BANCO!$B$22:$B$321,"&lt;"&amp;DATE(YEAR(D$5),MONTH(D$5)+1,1))</f>
        <v/>
      </c>
      <c r="E28" s="151">
        <f>SUMIFS(BANCO!$E$22:$E$321,BANCO!$C$22:$C$321,"Otro ingreso",BANCO!$B$22:$B$321,"&gt;="&amp;E$5,BANCO!$B$22:$B$321,"&lt;"&amp;DATE(YEAR(E$5),MONTH(E$5)+1,1))</f>
        <v/>
      </c>
      <c r="F28" s="151">
        <f>SUMIFS(BANCO!$E$22:$E$321,BANCO!$C$22:$C$321,"Otro ingreso",BANCO!$B$22:$B$321,"&gt;="&amp;F$5,BANCO!$B$22:$B$321,"&lt;"&amp;DATE(YEAR(F$5),MONTH(F$5)+1,1))</f>
        <v/>
      </c>
      <c r="G28" s="151">
        <f>SUMIFS(BANCO!$E$22:$E$321,BANCO!$C$22:$C$321,"Otro ingreso",BANCO!$B$22:$B$321,"&gt;="&amp;G$5,BANCO!$B$22:$B$321,"&lt;"&amp;DATE(YEAR(G$5),MONTH(G$5)+1,1))</f>
        <v/>
      </c>
      <c r="H28" s="151">
        <f>SUMIFS(BANCO!$E$22:$E$321,BANCO!$C$22:$C$321,"Otro ingreso",BANCO!$B$22:$B$321,"&gt;="&amp;H$5,BANCO!$B$22:$B$321,"&lt;"&amp;DATE(YEAR(H$5),MONTH(H$5)+1,1))</f>
        <v/>
      </c>
      <c r="I28" s="151">
        <f>SUMIFS(BANCO!$E$22:$E$321,BANCO!$C$22:$C$321,"Otro ingreso",BANCO!$B$22:$B$321,"&gt;="&amp;I$5,BANCO!$B$22:$B$321,"&lt;"&amp;DATE(YEAR(I$5),MONTH(I$5)+1,1))</f>
        <v/>
      </c>
      <c r="J28" s="151">
        <f>SUMIFS(BANCO!$E$22:$E$321,BANCO!$C$22:$C$321,"Otro ingreso",BANCO!$B$22:$B$321,"&gt;="&amp;J$5,BANCO!$B$22:$B$321,"&lt;"&amp;DATE(YEAR(J$5),MONTH(J$5)+1,1))</f>
        <v/>
      </c>
      <c r="K28" s="151">
        <f>SUMIFS(BANCO!$E$22:$E$321,BANCO!$C$22:$C$321,"Otro ingreso",BANCO!$B$22:$B$321,"&gt;="&amp;K$5,BANCO!$B$22:$B$321,"&lt;"&amp;DATE(YEAR(K$5),MONTH(K$5)+1,1))</f>
        <v/>
      </c>
      <c r="L28" s="151">
        <f>SUMIFS(BANCO!$E$22:$E$321,BANCO!$C$22:$C$321,"Otro ingreso",BANCO!$B$22:$B$321,"&gt;="&amp;L$5,BANCO!$B$22:$B$321,"&lt;"&amp;DATE(YEAR(L$5),MONTH(L$5)+1,1))</f>
        <v/>
      </c>
      <c r="M28" s="151">
        <f>SUMIFS(BANCO!$E$22:$E$321,BANCO!$C$22:$C$321,"Otro ingreso",BANCO!$B$22:$B$321,"&gt;="&amp;M$5,BANCO!$B$22:$B$321,"&lt;"&amp;DATE(YEAR(M$5),MONTH(M$5)+1,1))</f>
        <v/>
      </c>
      <c r="N28" s="151">
        <f>SUMIFS(BANCO!$E$22:$E$321,BANCO!$C$22:$C$321,"Otro ingreso",BANCO!$B$22:$B$321,"&gt;="&amp;N$5,BANCO!$B$22:$B$321,"&lt;"&amp;DATE(YEAR(N$5),MONTH(N$5)+1,1))</f>
        <v/>
      </c>
      <c r="O28" s="152">
        <f>SUM(C28:N28)</f>
        <v/>
      </c>
      <c r="Q28" s="153">
        <f>SUMIFS(BANCO!$E$22:$E$321,BANCO!$C$22:$C$321,"Otro ingreso")</f>
        <v/>
      </c>
    </row>
    <row r="29">
      <c r="B29" s="160" t="inlineStr">
        <is>
          <t>UTILIDAD NETA</t>
        </is>
      </c>
      <c r="C29" s="161">
        <f>C27+C28</f>
        <v/>
      </c>
      <c r="D29" s="161">
        <f>D27+D28</f>
        <v/>
      </c>
      <c r="E29" s="161">
        <f>E27+E28</f>
        <v/>
      </c>
      <c r="F29" s="161">
        <f>F27+F28</f>
        <v/>
      </c>
      <c r="G29" s="161">
        <f>G27+G28</f>
        <v/>
      </c>
      <c r="H29" s="161">
        <f>H27+H28</f>
        <v/>
      </c>
      <c r="I29" s="161">
        <f>I27+I28</f>
        <v/>
      </c>
      <c r="J29" s="161">
        <f>J27+J28</f>
        <v/>
      </c>
      <c r="K29" s="161">
        <f>K27+K28</f>
        <v/>
      </c>
      <c r="L29" s="161">
        <f>L27+L28</f>
        <v/>
      </c>
      <c r="M29" s="161">
        <f>M27+M28</f>
        <v/>
      </c>
      <c r="N29" s="161">
        <f>N27+N28</f>
        <v/>
      </c>
      <c r="O29" s="161">
        <f>SUM(C29:N29)</f>
        <v/>
      </c>
      <c r="Q29" s="161">
        <f>Q27+Q28</f>
        <v/>
      </c>
    </row>
    <row r="30">
      <c r="B30" s="156" t="inlineStr">
        <is>
          <t>Margen neto %</t>
        </is>
      </c>
      <c r="C30" s="157">
        <f>IF(C8&gt;0,C29/C8,0)</f>
        <v/>
      </c>
      <c r="D30" s="157">
        <f>IF(D8&gt;0,D29/D8,0)</f>
        <v/>
      </c>
      <c r="E30" s="157">
        <f>IF(E8&gt;0,E29/E8,0)</f>
        <v/>
      </c>
      <c r="F30" s="157">
        <f>IF(F8&gt;0,F29/F8,0)</f>
        <v/>
      </c>
      <c r="G30" s="157">
        <f>IF(G8&gt;0,G29/G8,0)</f>
        <v/>
      </c>
      <c r="H30" s="157">
        <f>IF(H8&gt;0,H29/H8,0)</f>
        <v/>
      </c>
      <c r="I30" s="157">
        <f>IF(I8&gt;0,I29/I8,0)</f>
        <v/>
      </c>
      <c r="J30" s="157">
        <f>IF(J8&gt;0,J29/J8,0)</f>
        <v/>
      </c>
      <c r="K30" s="157">
        <f>IF(K8&gt;0,K29/K8,0)</f>
        <v/>
      </c>
      <c r="L30" s="157">
        <f>IF(L8&gt;0,L29/L8,0)</f>
        <v/>
      </c>
      <c r="M30" s="157">
        <f>IF(M8&gt;0,M29/M8,0)</f>
        <v/>
      </c>
      <c r="N30" s="157">
        <f>IF(N8&gt;0,N29/N8,0)</f>
        <v/>
      </c>
      <c r="O30" s="158">
        <f>IF(O8&gt;0,O29/O8,0)</f>
        <v/>
      </c>
      <c r="Q30" s="159">
        <f>IF(Q8&gt;0,Q29/Q8,0)</f>
        <v/>
      </c>
    </row>
    <row r="31">
      <c r="B31" s="162" t="inlineStr">
        <is>
          <t>Unidades vendidas</t>
        </is>
      </c>
      <c r="C31" s="163">
        <f>SUMIFS(VENTAS!$F$6:$F$505,VENTAS!$B$6:$B$505,"&gt;="&amp;C$5,VENTAS!$B$6:$B$505,"&lt;"&amp;DATE(YEAR(C$5),MONTH(C$5)+1,1))</f>
        <v/>
      </c>
      <c r="D31" s="163">
        <f>SUMIFS(VENTAS!$F$6:$F$505,VENTAS!$B$6:$B$505,"&gt;="&amp;D$5,VENTAS!$B$6:$B$505,"&lt;"&amp;DATE(YEAR(D$5),MONTH(D$5)+1,1))</f>
        <v/>
      </c>
      <c r="E31" s="163">
        <f>SUMIFS(VENTAS!$F$6:$F$505,VENTAS!$B$6:$B$505,"&gt;="&amp;E$5,VENTAS!$B$6:$B$505,"&lt;"&amp;DATE(YEAR(E$5),MONTH(E$5)+1,1))</f>
        <v/>
      </c>
      <c r="F31" s="163">
        <f>SUMIFS(VENTAS!$F$6:$F$505,VENTAS!$B$6:$B$505,"&gt;="&amp;F$5,VENTAS!$B$6:$B$505,"&lt;"&amp;DATE(YEAR(F$5),MONTH(F$5)+1,1))</f>
        <v/>
      </c>
      <c r="G31" s="163">
        <f>SUMIFS(VENTAS!$F$6:$F$505,VENTAS!$B$6:$B$505,"&gt;="&amp;G$5,VENTAS!$B$6:$B$505,"&lt;"&amp;DATE(YEAR(G$5),MONTH(G$5)+1,1))</f>
        <v/>
      </c>
      <c r="H31" s="163">
        <f>SUMIFS(VENTAS!$F$6:$F$505,VENTAS!$B$6:$B$505,"&gt;="&amp;H$5,VENTAS!$B$6:$B$505,"&lt;"&amp;DATE(YEAR(H$5),MONTH(H$5)+1,1))</f>
        <v/>
      </c>
      <c r="I31" s="163">
        <f>SUMIFS(VENTAS!$F$6:$F$505,VENTAS!$B$6:$B$505,"&gt;="&amp;I$5,VENTAS!$B$6:$B$505,"&lt;"&amp;DATE(YEAR(I$5),MONTH(I$5)+1,1))</f>
        <v/>
      </c>
      <c r="J31" s="163">
        <f>SUMIFS(VENTAS!$F$6:$F$505,VENTAS!$B$6:$B$505,"&gt;="&amp;J$5,VENTAS!$B$6:$B$505,"&lt;"&amp;DATE(YEAR(J$5),MONTH(J$5)+1,1))</f>
        <v/>
      </c>
      <c r="K31" s="163">
        <f>SUMIFS(VENTAS!$F$6:$F$505,VENTAS!$B$6:$B$505,"&gt;="&amp;K$5,VENTAS!$B$6:$B$505,"&lt;"&amp;DATE(YEAR(K$5),MONTH(K$5)+1,1))</f>
        <v/>
      </c>
      <c r="L31" s="163">
        <f>SUMIFS(VENTAS!$F$6:$F$505,VENTAS!$B$6:$B$505,"&gt;="&amp;L$5,VENTAS!$B$6:$B$505,"&lt;"&amp;DATE(YEAR(L$5),MONTH(L$5)+1,1))</f>
        <v/>
      </c>
      <c r="M31" s="163">
        <f>SUMIFS(VENTAS!$F$6:$F$505,VENTAS!$B$6:$B$505,"&gt;="&amp;M$5,VENTAS!$B$6:$B$505,"&lt;"&amp;DATE(YEAR(M$5),MONTH(M$5)+1,1))</f>
        <v/>
      </c>
      <c r="N31" s="163">
        <f>SUMIFS(VENTAS!$F$6:$F$505,VENTAS!$B$6:$B$505,"&gt;="&amp;N$5,VENTAS!$B$6:$B$505,"&lt;"&amp;DATE(YEAR(N$5),MONTH(N$5)+1,1))</f>
        <v/>
      </c>
      <c r="O31" s="164">
        <f>SUM(C31:N31)</f>
        <v/>
      </c>
      <c r="Q31" s="165">
        <f>SUM(VENTAS!$F$6:$F$505)</f>
        <v/>
      </c>
    </row>
    <row r="33">
      <c r="B33" s="141" t="inlineStr">
        <is>
          <t>Notas: los gastos se muestran con signo negativo. El costo de ventas usa el costo real promedio (incluye el 2.9% de Citi cuando aplica). La columna ACUMULADO HISTÓRICO incluye todos los años y alimenta el BALANCE.</t>
        </is>
      </c>
    </row>
  </sheetData>
  <conditionalFormatting sqref="C29:Q29">
    <cfRule type="cellIs" priority="1" operator="lessThan" dxfId="16">
      <formula>0</formula>
    </cfRule>
  </conditionalFormatting>
  <printOptions horizontalCentered="1"/>
  <pageMargins left="0.4" right="0.4" top="1" bottom="1" header="0.5" footer="0.5"/>
  <pageSetup orientation="landscape" fitToHeight="0" fitToWidth="1"/>
  <headerFooter>
    <oddHeader/>
    <oddFooter>&amp;C&amp;8 COTIMIX · Sistema de control financiero · 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0B2545"/>
    <outlinePr summaryBelow="1" summaryRight="1"/>
    <pageSetUpPr fitToPage="1"/>
  </sheetPr>
  <dimension ref="A1:H33"/>
  <sheetViews>
    <sheetView showGridLines="0" zoomScale="90" workbookViewId="0">
      <selection activeCell="A1" sqref="A1"/>
    </sheetView>
  </sheetViews>
  <sheetFormatPr baseColWidth="8" defaultRowHeight="15"/>
  <cols>
    <col width="2.5" customWidth="1" min="1" max="1"/>
    <col width="46" customWidth="1" min="2" max="2"/>
    <col width="18" customWidth="1" min="3" max="3"/>
    <col width="12" customWidth="1" min="4" max="4"/>
    <col width="50" customWidth="1" min="5" max="5"/>
  </cols>
  <sheetData>
    <row r="1" ht="34" customHeight="1">
      <c r="A1" s="1" t="n"/>
      <c r="B1" s="2" t="inlineStr">
        <is>
          <t>COTIMIX · BALANCE GENERAL</t>
        </is>
      </c>
      <c r="C1" s="1" t="n"/>
      <c r="D1" s="1" t="n"/>
      <c r="E1" s="1" t="n"/>
      <c r="F1" s="1" t="n"/>
      <c r="G1" s="1" t="n"/>
      <c r="H1" s="1" t="n"/>
    </row>
    <row r="2" ht="20" customHeight="1">
      <c r="A2" s="1" t="n"/>
      <c r="B2" s="3" t="inlineStr">
        <is>
          <t>Posición financiera actual. Activo = Pasivo + Patrimonio.</t>
        </is>
      </c>
      <c r="C2" s="1" t="n"/>
      <c r="D2" s="1" t="n"/>
      <c r="E2" s="1" t="n"/>
      <c r="F2" s="1" t="n"/>
      <c r="G2" s="1" t="n"/>
      <c r="H2" s="1" t="n"/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B4" s="147">
        <f>"Al "&amp;TEXT(TODAY(),"dd/mm/yyyy")&amp;"  ·  cifras en USD"</f>
        <v/>
      </c>
    </row>
    <row r="6" ht="20" customHeight="1">
      <c r="B6" s="44" t="inlineStr">
        <is>
          <t>ACTIVO</t>
        </is>
      </c>
      <c r="C6" s="45" t="n"/>
      <c r="D6" s="45" t="n"/>
    </row>
    <row r="7">
      <c r="B7" s="166" t="inlineStr">
        <is>
          <t>Efectivo / Banco disponible</t>
        </is>
      </c>
      <c r="C7" s="167">
        <f>BANCO!E13</f>
        <v/>
      </c>
      <c r="D7" s="168">
        <f>IF($C$11&lt;&gt;0,C7/$C$11,0)</f>
        <v/>
      </c>
      <c r="E7" s="141" t="inlineStr">
        <is>
          <t>Disponible de inmediato</t>
        </is>
      </c>
    </row>
    <row r="8">
      <c r="B8" s="166" t="inlineStr">
        <is>
          <t>Saldo Walmart por liquidar</t>
        </is>
      </c>
      <c r="C8" s="167">
        <f>WALMART!E18</f>
        <v/>
      </c>
      <c r="D8" s="168">
        <f>IF($C$11&lt;&gt;0,C8/$C$11,0)</f>
        <v/>
      </c>
      <c r="E8" s="141" t="inlineStr">
        <is>
          <t>Se depositará en la próxima liquidación</t>
        </is>
      </c>
    </row>
    <row r="9">
      <c r="B9" s="166" t="inlineStr">
        <is>
          <t>Reserva Walmart (restringido, no disponible)</t>
        </is>
      </c>
      <c r="C9" s="167">
        <f>WALMART!E9</f>
        <v/>
      </c>
      <c r="D9" s="168">
        <f>IF($C$11&lt;&gt;0,C9/$C$11,0)</f>
        <v/>
      </c>
      <c r="E9" s="141" t="inlineStr">
        <is>
          <t>Pertenece a COTIMIX; Walmart lo libera según sus políticas</t>
        </is>
      </c>
    </row>
    <row r="10">
      <c r="B10" s="166" t="inlineStr">
        <is>
          <t>Inventario de mercancía (costo real)</t>
        </is>
      </c>
      <c r="C10" s="167">
        <f>INVENTARIO!M27</f>
        <v/>
      </c>
      <c r="D10" s="168">
        <f>IF($C$11&lt;&gt;0,C10/$C$11,0)</f>
        <v/>
      </c>
      <c r="E10" s="141" t="inlineStr">
        <is>
          <t>Incluye el 2.9% de Citi capitalizado en el mouse</t>
        </is>
      </c>
    </row>
    <row r="11">
      <c r="B11" s="139" t="inlineStr">
        <is>
          <t>TOTAL ACTIVO</t>
        </is>
      </c>
      <c r="C11" s="169">
        <f>SUM(C7:C10)</f>
        <v/>
      </c>
      <c r="D11" s="139" t="n"/>
    </row>
    <row r="13" ht="20" customHeight="1">
      <c r="B13" s="42" t="inlineStr">
        <is>
          <t>PASIVO</t>
        </is>
      </c>
      <c r="C13" s="43" t="n"/>
      <c r="D13" s="43" t="n"/>
    </row>
    <row r="14">
      <c r="B14" s="166" t="inlineStr">
        <is>
          <t>Tarjeta de crédito Citi por pagar</t>
        </is>
      </c>
      <c r="C14" s="167">
        <f>BANCO!E19</f>
        <v/>
      </c>
      <c r="D14" s="136" t="n"/>
      <c r="E14" s="141" t="inlineStr">
        <is>
          <t>Supuesto: compra de mouse aún no pagada</t>
        </is>
      </c>
    </row>
    <row r="15">
      <c r="B15" s="139" t="inlineStr">
        <is>
          <t>TOTAL PASIVO</t>
        </is>
      </c>
      <c r="C15" s="169">
        <f>SUM(C14:C14)</f>
        <v/>
      </c>
      <c r="D15" s="139" t="n"/>
    </row>
    <row r="17" ht="20" customHeight="1">
      <c r="B17" s="5" t="inlineStr">
        <is>
          <t>PATRIMONIO</t>
        </is>
      </c>
      <c r="C17" s="6" t="n"/>
      <c r="D17" s="6" t="n"/>
    </row>
    <row r="18">
      <c r="B18" s="166" t="inlineStr">
        <is>
          <t>Capital aportado</t>
        </is>
      </c>
      <c r="C18" s="167">
        <f>BANCO!E6</f>
        <v/>
      </c>
      <c r="D18" s="136" t="n"/>
    </row>
    <row r="19">
      <c r="B19" s="166" t="inlineStr">
        <is>
          <t>(−) Retiros del propietario</t>
        </is>
      </c>
      <c r="C19" s="167">
        <f>BANCO!E9</f>
        <v/>
      </c>
      <c r="D19" s="136" t="n"/>
    </row>
    <row r="20">
      <c r="B20" s="166" t="inlineStr">
        <is>
          <t>Resultados acumulados de apertura</t>
        </is>
      </c>
      <c r="C20" s="167">
        <f>CFG_RES_APERTURA</f>
        <v/>
      </c>
      <c r="D20" s="136" t="n"/>
      <c r="E20" s="141" t="inlineStr">
        <is>
          <t>Ver supuesto en CONFIG (origen de la reserva Walmart)</t>
        </is>
      </c>
    </row>
    <row r="21">
      <c r="B21" s="166" t="inlineStr">
        <is>
          <t>Resultado acumulado desde la apertura</t>
        </is>
      </c>
      <c r="C21" s="167">
        <f>ESTADO_RESULTADOS!Q29</f>
        <v/>
      </c>
      <c r="D21" s="136" t="n"/>
      <c r="E21" s="141" t="inlineStr">
        <is>
          <t>Utilidad neta histórica (ESTADO_RESULTADOS)</t>
        </is>
      </c>
    </row>
    <row r="22">
      <c r="B22" s="139" t="inlineStr">
        <is>
          <t>TOTAL PATRIMONIO</t>
        </is>
      </c>
      <c r="C22" s="169">
        <f>SUM(C18:C21)</f>
        <v/>
      </c>
      <c r="D22" s="139" t="n"/>
    </row>
    <row r="24">
      <c r="B24" s="142" t="inlineStr">
        <is>
          <t>TOTAL PASIVO + PATRIMONIO</t>
        </is>
      </c>
      <c r="C24" s="170">
        <f>C15+C22</f>
        <v/>
      </c>
      <c r="D24" s="142" t="n"/>
    </row>
    <row r="25">
      <c r="B25" s="166" t="inlineStr">
        <is>
          <t>Control de cuadre (Activo − Pasivo − Patrimonio)</t>
        </is>
      </c>
      <c r="C25" s="167">
        <f>ROUND(C11-C24,2)</f>
        <v/>
      </c>
      <c r="D25" s="171">
        <f>IF(ABS(C25)&lt;0.01,"✔ CUADRA","✖ REVISAR")</f>
        <v/>
      </c>
    </row>
    <row r="27" ht="20" customHeight="1">
      <c r="B27" s="172" t="inlineStr">
        <is>
          <t>INDICADORES FINANCIEROS</t>
        </is>
      </c>
      <c r="C27" s="4" t="n"/>
      <c r="D27" s="4" t="n"/>
    </row>
    <row r="28">
      <c r="B28" s="166" t="inlineStr">
        <is>
          <t>Liquidez inmediata (Efectivo ÷ Pasivo)</t>
        </is>
      </c>
      <c r="C28" s="173">
        <f>IF(C15&gt;0,C7/C15,0)</f>
        <v/>
      </c>
      <c r="D28" s="136" t="n"/>
      <c r="E28" s="141" t="inlineStr">
        <is>
          <t>&gt; 1.0x: el efectivo cubre la deuda Citi</t>
        </is>
      </c>
    </row>
    <row r="29">
      <c r="B29" s="166" t="inlineStr">
        <is>
          <t>Liquidez ampliada ((Efectivo + Walmart por liquidar) ÷ Pasivo)</t>
        </is>
      </c>
      <c r="C29" s="173">
        <f>IF(C15&gt;0,(C7+C8)/C15,0)</f>
        <v/>
      </c>
      <c r="D29" s="136" t="n"/>
    </row>
    <row r="30">
      <c r="B30" s="166" t="inlineStr">
        <is>
          <t>Endeudamiento (Pasivo ÷ Activo)</t>
        </is>
      </c>
      <c r="C30" s="174">
        <f>IF(C11&gt;0,C15/C11,0)</f>
        <v/>
      </c>
      <c r="D30" s="136" t="n"/>
      <c r="E30" s="141" t="inlineStr">
        <is>
          <t>Proporción de activos financiados con deuda</t>
        </is>
      </c>
    </row>
    <row r="31">
      <c r="B31" s="166" t="inlineStr">
        <is>
          <t>Dinero restringido (Reserva ÷ Activo)</t>
        </is>
      </c>
      <c r="C31" s="174">
        <f>IF(C11&gt;0,C9/C11,0)</f>
        <v/>
      </c>
      <c r="D31" s="136" t="n"/>
    </row>
    <row r="32">
      <c r="B32" s="166" t="inlineStr">
        <is>
          <t>Peso del inventario (Inventario ÷ Activo)</t>
        </is>
      </c>
      <c r="C32" s="174">
        <f>IF(C11&gt;0,C10/C11,0)</f>
        <v/>
      </c>
      <c r="D32" s="136" t="n"/>
    </row>
    <row r="33">
      <c r="B33" s="166" t="inlineStr">
        <is>
          <t>ROI sobre capital (Utilidad acumulada ÷ Capital)</t>
        </is>
      </c>
      <c r="C33" s="174">
        <f>IF(CFG_CAPITAL&gt;0,(C20+C21)/CFG_CAPITAL,0)</f>
        <v/>
      </c>
      <c r="D33" s="136" t="n"/>
      <c r="E33" s="141" t="inlineStr">
        <is>
          <t>Incluye resultados de apertura</t>
        </is>
      </c>
    </row>
  </sheetData>
  <conditionalFormatting sqref="D25">
    <cfRule type="cellIs" priority="1" operator="equal" dxfId="8">
      <formula>"✔ CUADRA"</formula>
    </cfRule>
    <cfRule type="cellIs" priority="2" operator="notEqual" dxfId="10">
      <formula>"✔ CUADRA"</formula>
    </cfRule>
  </conditionalFormatting>
  <printOptions horizontalCentered="1"/>
  <pageMargins left="0.4" right="0.4" top="1" bottom="1" header="0.5" footer="0.5"/>
  <pageSetup orientation="landscape" fitToHeight="0" fitToWidth="1"/>
  <headerFooter>
    <oddHeader/>
    <oddFooter>&amp;C&amp;8 COTIMIX · Sistema de control financiero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2026-10-28T23:31:12Z</dcterms:created>
  <dcterms:modified xmlns:dcterms="http://purl.org/dc/terms/" xmlns:xsi="http://www.w3.org/2001/XMLSchema-instance" xsi:type="dcterms:W3CDTF">2026-10-28T23:31:14Z</dcterms:modified>
</cp:coreProperties>
</file>